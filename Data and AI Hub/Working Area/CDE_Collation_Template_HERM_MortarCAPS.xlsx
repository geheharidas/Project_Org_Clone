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d.docs.live.net/41ec7cdb0da64d7f/Desktop/UWA/Claude/"/>
    </mc:Choice>
  </mc:AlternateContent>
  <xr:revisionPtr revIDLastSave="0" documentId="8_{1FE28B18-A1AF-4DF4-A2D4-8ED96FA956B4}" xr6:coauthVersionLast="47" xr6:coauthVersionMax="47" xr10:uidLastSave="{00000000-0000-0000-0000-000000000000}"/>
  <bookViews>
    <workbookView xWindow="3375" yWindow="-16320" windowWidth="29040" windowHeight="15720" tabRatio="500" firstSheet="4" activeTab="4" xr2:uid="{00000000-000D-0000-FFFF-FFFF00000000}"/>
  </bookViews>
  <sheets>
    <sheet name="📋 Instructions" sheetId="1" r:id="rId1"/>
    <sheet name="🏛️ HERM Domains" sheetId="2" r:id="rId2"/>
    <sheet name="📊 CDE Register" sheetId="3" r:id="rId3"/>
    <sheet name="🖥️ Application Map" sheetId="4" r:id="rId4"/>
    <sheet name="⚖️ Criticality Scoring" sheetId="5" r:id="rId5"/>
    <sheet name="🔗 CMDB-iServer Export"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3" i="3" l="1"/>
  <c r="B32" i="3"/>
  <c r="B31" i="3"/>
  <c r="B30" i="3"/>
  <c r="B29" i="3"/>
  <c r="B28" i="3"/>
  <c r="B27" i="3"/>
  <c r="B26" i="3"/>
  <c r="B25" i="3"/>
  <c r="B24" i="3"/>
  <c r="B23" i="3"/>
  <c r="B22" i="3"/>
  <c r="B21" i="3"/>
  <c r="B20" i="3"/>
  <c r="B19" i="3"/>
  <c r="B18" i="3"/>
  <c r="B17" i="3"/>
  <c r="B16" i="3"/>
  <c r="B15" i="3"/>
  <c r="B14" i="3"/>
</calcChain>
</file>

<file path=xl/sharedStrings.xml><?xml version="1.0" encoding="utf-8"?>
<sst xmlns="http://schemas.openxmlformats.org/spreadsheetml/2006/main" count="635" uniqueCount="395">
  <si>
    <t>Critical Data Elements (CDE) Collation Template</t>
  </si>
  <si>
    <t>Higher Education | Aligned to CAUDIT HERM v3.2 &amp; MortarCAPS MCDS v1.2 | Critical Applications Audit</t>
  </si>
  <si>
    <t>PURPOSE</t>
  </si>
  <si>
    <t>Purpose</t>
  </si>
  <si>
    <t>This template enables your institution to systematically identify, define, score and map Critical Data Elements (CDEs) across your application portfolio. It is structured to align with the CAUDIT Higher Education Reference Model (HERM) and the MortarCAPS Higher Learning Data Standard (MCDS v1.2), ensuring sector-endorsed vocabulary and data domains are used throughout.</t>
  </si>
  <si>
    <t>WORKBOOK STRUCTURE</t>
  </si>
  <si>
    <t>📋 Instructions</t>
  </si>
  <si>
    <t>This sheet. Read before beginning.</t>
  </si>
  <si>
    <t>🏛️ HERM Domains</t>
  </si>
  <si>
    <t>Reference list of HERM data domains and entities. Use to classify each CDE. Do not edit.</t>
  </si>
  <si>
    <t>📊 CDE Register</t>
  </si>
  <si>
    <t>PRIMARY WORKING SHEET. Enter one row per CDE. All other sheets reference this.</t>
  </si>
  <si>
    <t>🖥️ Application Map</t>
  </si>
  <si>
    <t>Map each application to the CDEs it owns or consumes. Feeds the audit trail.</t>
  </si>
  <si>
    <t>⚖️ Criticality Scoring</t>
  </si>
  <si>
    <t>Criticality scoring methodology and worked examples.</t>
  </si>
  <si>
    <t>🔗 CMDB / iServer Export</t>
  </si>
  <si>
    <t>Flattened export-ready view for ServiceNow CMDB or Orbus iServer import.</t>
  </si>
  <si>
    <t>HOW TO USE — STEP BY STEP</t>
  </si>
  <si>
    <t>Step 1 — Seed from HERM</t>
  </si>
  <si>
    <t>Open the 🏛️ HERM Domains sheet and familiarise yourself with the six data domain categories (Core, Enablers, Foundations). These define the boundary of your CDE universe.</t>
  </si>
  <si>
    <t>Step 2 — Identify CDEs</t>
  </si>
  <si>
    <t>For each domain, work with the relevant Data Steward to list data elements that, if wrong or unavailable, would materially impact operations, compliance, or student outcomes.</t>
  </si>
  <si>
    <t>Step 3 — Enter in CDE Register</t>
  </si>
  <si>
    <t>Enter one CDE per row in the 📊 CDE Register. Complete every column — partial entries degrade the audit output. Use the drop-down lists provided.</t>
  </si>
  <si>
    <t>Step 4 — Score Criticality</t>
  </si>
  <si>
    <t>Apply the criticality scoring model on the ⚖️ Criticality Scoring sheet. The composite score auto-populates via formula.</t>
  </si>
  <si>
    <t>Step 5 — Map Applications</t>
  </si>
  <si>
    <t>On the 🖥️ Application Map sheet, record every application that is the system of record or a consumer of each CDE.</t>
  </si>
  <si>
    <t>Step 6 — Export to CMDB/iServer</t>
  </si>
  <si>
    <t>Use the 🔗 CMDB / iServer Export sheet to produce a flat file for import into ServiceNow CMDB or Orbus iServer.</t>
  </si>
  <si>
    <t>KEY DEFINITIONS</t>
  </si>
  <si>
    <t>System of Record (SoR)</t>
  </si>
  <si>
    <t>The single authoritative source of truth for a CDE. Only ONE system can be the SoR per CDE.</t>
  </si>
  <si>
    <t>Data Steward</t>
  </si>
  <si>
    <t>The business owner responsible for the quality, definition and access rules of a CDE. Usually a senior business role (e.g. Registrar for Student ID).</t>
  </si>
  <si>
    <t>Data Custodian</t>
  </si>
  <si>
    <t>The technical owner (usually IT) responsible for the storage, security and availability of the CDE.</t>
  </si>
  <si>
    <t>HERM Domain</t>
  </si>
  <si>
    <t>The CAUDIT HERM data domain the CDE belongs to (e.g. Student, Finance, Person). See 🏛️ HERM Domains sheet.</t>
  </si>
  <si>
    <t>MortarCAPS Entity</t>
  </si>
  <si>
    <t>The corresponding MortarCAPS MCDS entity name from the MCDS v1.2 Data Dictionary.</t>
  </si>
  <si>
    <t>CDE Classification</t>
  </si>
  <si>
    <t>Critical = loss/corruption causes immediate harm. Sensitive = privacy or regulatory risk. Operational = needed to run core business.</t>
  </si>
  <si>
    <t>ALIGNMENT REFERENCES</t>
  </si>
  <si>
    <t>HERM v3.2</t>
  </si>
  <si>
    <t>CAUDIT Higher Education Reference Models — Data Reference Model. Access via CAUDIT member portal.</t>
  </si>
  <si>
    <t>MCDS v1.2</t>
  </si>
  <si>
    <t>MortarCAPS Higher Learning Data Standard v1.2 — includes Data Dictionary and ERD. Access via caudit.edu.au/caudit-mortar-caps-data-standard/</t>
  </si>
  <si>
    <t>EDUCAUSE</t>
  </si>
  <si>
    <t>HERM also available via EDUCAUSE Library (library.educause.edu) for member institutions.</t>
  </si>
  <si>
    <t>TCSI</t>
  </si>
  <si>
    <t>Tertiary Collection of Student Information — mandatory Australian regulatory data fields are automatic CDEs.</t>
  </si>
  <si>
    <t>HERM Data Reference Model — Domain &amp; Entity Catalogue</t>
  </si>
  <si>
    <t>CAUDIT HERM v3.2 | MortarCAPS MCDS v1.2 Aligned | Reference Only — Do Not Edit</t>
  </si>
  <si>
    <t>HERM Category</t>
  </si>
  <si>
    <t>Key Data Entities</t>
  </si>
  <si>
    <t>Representative CDEs</t>
  </si>
  <si>
    <t>MortarCAPS Alignment</t>
  </si>
  <si>
    <t>🎓 CORE</t>
  </si>
  <si>
    <t>Student</t>
  </si>
  <si>
    <t>Person-as-Student, Enrolment, Academic Record, Progression, Completion</t>
  </si>
  <si>
    <t>Student ID, Legal Name, Date of Birth, Enrolment Status, Course Code, Unit/Subject Code, Credit Points, GPA, Graduation Status, Attendance</t>
  </si>
  <si>
    <t>Person, Enrolment, AcademicRecord, Qualification, LearningActivity</t>
  </si>
  <si>
    <t>Learning &amp; Teaching</t>
  </si>
  <si>
    <t>Course, Unit/Subject, Offering, Assessment, Grade, Curriculum</t>
  </si>
  <si>
    <t>Course Code, Course Title, Unit Code, Teaching Period, Mode of Delivery, Assessment Task, Assessment Weight, Grade, Result, EFTSL</t>
  </si>
  <si>
    <t>Course, Unit, Offering, Assessment, Grade, Curriculum</t>
  </si>
  <si>
    <t>Research</t>
  </si>
  <si>
    <t>Research Project, Grant, Output, ERA Submission, Ethics Application</t>
  </si>
  <si>
    <t>Project ID, Grant Number, Funding Body, ERA Code, Research Output, FTE Research, Ethics Approval Number</t>
  </si>
  <si>
    <t>ResearchProject, Grant, ResearchOutput</t>
  </si>
  <si>
    <t>⚙️ ENABLERS</t>
  </si>
  <si>
    <t>Finance</t>
  </si>
  <si>
    <t>Chart of Accounts, Cost Centre, Budget, Invoice, Fee, Payment</t>
  </si>
  <si>
    <t>Account Code, Cost Centre, Fund Code, FEFSS Code, Tuition Fee, HECS Debt, Invoice Number, Payment Method, Budget Period</t>
  </si>
  <si>
    <t>FinancialAccount, Fee, Payment, Budget</t>
  </si>
  <si>
    <t>Human Resources</t>
  </si>
  <si>
    <t>Employee, Position, Organisation Unit, Payroll, Leave</t>
  </si>
  <si>
    <t>Employee ID, Position Number, Employment Type, FTE, Organisational Unit, Pay Grade, Contract End Date, Leave Balance</t>
  </si>
  <si>
    <t>Person, Employment, OrganisationalUnit</t>
  </si>
  <si>
    <t>Estates &amp; Facilities</t>
  </si>
  <si>
    <t>Campus, Building, Room, Space, Asset</t>
  </si>
  <si>
    <t>Campus Code, Building ID, Room Number, Room Capacity, Space Type, Asset ID, Asset Condition</t>
  </si>
  <si>
    <t>Location, PhysicalAsset</t>
  </si>
  <si>
    <t>🏛️ FOUNDATIONS</t>
  </si>
  <si>
    <t>Person</t>
  </si>
  <si>
    <t>Individual identity across all roles (student, staff, alumni, applicant)</t>
  </si>
  <si>
    <t>Person ID (Master), Given Name, Family Name, Preferred Name, Date of Birth, Gender, Nationality, Citizenship, Contact Email, Contact Phone, Address</t>
  </si>
  <si>
    <t>Person, Identity, ContactDetails</t>
  </si>
  <si>
    <t>Organisation &amp; Groups</t>
  </si>
  <si>
    <t>Faculties, Schools, Departments, External Orgs, Committees</t>
  </si>
  <si>
    <t>Organisation Unit Code, Org Unit Name, Org Unit Type, Parent Unit, External Organisation ID, Accreditation Body</t>
  </si>
  <si>
    <t>OrganisationalUnit, ExternalOrganisation</t>
  </si>
  <si>
    <t>Compliance &amp; Regulatory</t>
  </si>
  <si>
    <t>TCSI, ESOS, ARC/NHMRC, TEQSA, State Reporting</t>
  </si>
  <si>
    <t>TCSI Submission ID, CoE Number, ESOS Provider Code, CRICOS Code, ARC Grant ID, TEQSA Registration, HEIMS Student ID, CHESSN</t>
  </si>
  <si>
    <t>Compliance, RegulatoryReport</t>
  </si>
  <si>
    <t>Digital Identity &amp; Access</t>
  </si>
  <si>
    <t>Identity Provider, Roles, Permissions, Credentials</t>
  </si>
  <si>
    <t>Username, Directory ID, Identity Provider, Role, Permission Group, MFA Status, System Access Rights</t>
  </si>
  <si>
    <t>DigitalIdentity, Access</t>
  </si>
  <si>
    <t>🎓 CORE — Learning &amp; Teaching, Student, Research</t>
  </si>
  <si>
    <t>⚙️ ENABLERS — Finance, HR, Facilities</t>
  </si>
  <si>
    <t>🏛️ FOUNDATIONS — Person, Org, Compliance, Digital Identity</t>
  </si>
  <si>
    <t>📊 CDE Register — Critical Data Elements Catalogue</t>
  </si>
  <si>
    <t>HERM v3.2 &amp; MortarCAPS MCDS v1.2 Aligned | Critical Applications Audit | Enter one row per CDE</t>
  </si>
  <si>
    <t>IDENTIFICATION</t>
  </si>
  <si>
    <t>CLASSIFICATION</t>
  </si>
  <si>
    <t>OWNERSHIP</t>
  </si>
  <si>
    <t>APPLICATION MAPPING</t>
  </si>
  <si>
    <t>COMPLIANCE</t>
  </si>
  <si>
    <t>CRITICALITY</t>
  </si>
  <si>
    <t>QUALITY</t>
  </si>
  <si>
    <t>GOVERNANCE</t>
  </si>
  <si>
    <t>CDE ID</t>
  </si>
  <si>
    <t>CDE Name</t>
  </si>
  <si>
    <t>Business Definition</t>
  </si>
  <si>
    <t>HERM Entity</t>
  </si>
  <si>
    <t>MortarCAPS Entity (MCDS)</t>
  </si>
  <si>
    <t>Data Classification</t>
  </si>
  <si>
    <t>Data Steward (Business)</t>
  </si>
  <si>
    <t>Data Custodian (Technical)</t>
  </si>
  <si>
    <t>Business Unit / Faculty</t>
  </si>
  <si>
    <t>Consuming Applications</t>
  </si>
  <si>
    <t>ServiceNow CI Ref</t>
  </si>
  <si>
    <t>iServer Object ID</t>
  </si>
  <si>
    <t>Regulatory / Compliance Obligation</t>
  </si>
  <si>
    <t>Privacy Act Relevant</t>
  </si>
  <si>
    <t>Retention Period</t>
  </si>
  <si>
    <t>Criticality Score (1–10)</t>
  </si>
  <si>
    <t>Criticality Rationale</t>
  </si>
  <si>
    <t>Data Quality Rules</t>
  </si>
  <si>
    <t>Known Quality Issues</t>
  </si>
  <si>
    <t>Last Reviewed</t>
  </si>
  <si>
    <t>Review Frequency</t>
  </si>
  <si>
    <t>Status</t>
  </si>
  <si>
    <t>Notes / Audit Comments</t>
  </si>
  <si>
    <t>Student ID (Master)</t>
  </si>
  <si>
    <t>The unique, persistent identifier assigned to every individual who enrols or applies to the institution. The master key linking all student-related records across systems.</t>
  </si>
  <si>
    <t>Person-as-Student</t>
  </si>
  <si>
    <t>Critical</t>
  </si>
  <si>
    <t>Registrar</t>
  </si>
  <si>
    <t>Enterprise Architect / SIS Team</t>
  </si>
  <si>
    <t>Academic Registrar's Office</t>
  </si>
  <si>
    <t>Student Information System (SIS)</t>
  </si>
  <si>
    <t>SIS, LMS, Finance, Library, ID Card, Timetabling, TCSI</t>
  </si>
  <si>
    <t>CI-STU-001</t>
  </si>
  <si>
    <t>iSRV-2201</t>
  </si>
  <si>
    <t>TCSI mandatory field; ESOS CoE linkage; Privacy Act Schedule 1</t>
  </si>
  <si>
    <t>Yes – Privacy Act 1988</t>
  </si>
  <si>
    <t>Permanent (post-graduation retention policy)</t>
  </si>
  <si>
    <t>10</t>
  </si>
  <si>
    <t>Loss of Student ID breaks every downstream process. TCSI submission fails. ESOS compliance at risk.</t>
  </si>
  <si>
    <t>Must be unique; cannot be null; must not be recycled upon student withdrawal</t>
  </si>
  <si>
    <t>Duplicate IDs observed in legacy migration records</t>
  </si>
  <si>
    <t>2026-03-01</t>
  </si>
  <si>
    <t>Annual</t>
  </si>
  <si>
    <t>Active</t>
  </si>
  <si>
    <t>Primary key — system of record is SIS. All other systems must reference, not duplicate.</t>
  </si>
  <si>
    <t>Legal Full Name</t>
  </si>
  <si>
    <t>The student's legal name as it appears on government-issued identification. Distinct from preferred name. Required for official documents, transcripts, TCSI and visa records.</t>
  </si>
  <si>
    <t>Identity</t>
  </si>
  <si>
    <t>Identity &amp; Access Management Team</t>
  </si>
  <si>
    <t>SIS, TCSI, ESOS, HR, Finance, Email Directory</t>
  </si>
  <si>
    <t>CI-PER-001</t>
  </si>
  <si>
    <t>iSRV-2202</t>
  </si>
  <si>
    <t>Privacy Act 1988; TCSI mandatory; ESOS CoE; Anti-Money Laundering Act (staff)</t>
  </si>
  <si>
    <t>7 years post-departure (ESOS); Permanent for graduates</t>
  </si>
  <si>
    <t>Required for TCSI submission, ESOS compliance, official transcripts and legal documents.</t>
  </si>
  <si>
    <t>Must match identity document; family name + given name both required; change requires supporting documentation</t>
  </si>
  <si>
    <t>Some records contain initials only — incomplete data from legacy import</t>
  </si>
  <si>
    <t>Separated into GivenName, FamilyName, MiddleName fields per MCDS Person entity.</t>
  </si>
  <si>
    <t>Enrolment Status</t>
  </si>
  <si>
    <t>The current enrolment state of a student in a course (e.g. Enrolled, Withdrawn, Discontinued, Completed, Deferred). Drives TCSI reporting, ESOS obligations and fee calculations.</t>
  </si>
  <si>
    <t>Enrolment</t>
  </si>
  <si>
    <t>SIS Support Team</t>
  </si>
  <si>
    <t>SIS, TCSI, ESOS, Finance (Fee Assessment), LMS, Analytics</t>
  </si>
  <si>
    <t>CI-ENR-001</t>
  </si>
  <si>
    <t>iSRV-2203</t>
  </si>
  <si>
    <t>TCSI mandatory (census date); ESOS CoE obligation; HECS/HELP fee liability trigger</t>
  </si>
  <si>
    <t>7 years post-finalisation</t>
  </si>
  <si>
    <t>Drives fee assessment, TCSI submission, ESOS visa compliance and resource allocation. Incorrect status = regulatory breach.</t>
  </si>
  <si>
    <t>Must use approved status code set; must be updated within 1 business day of census; cannot be null</t>
  </si>
  <si>
    <t>Delays in updating status at census date observed in 2024 audit</t>
  </si>
  <si>
    <t>Quarterly</t>
  </si>
  <si>
    <t>Aligns to MortarCAPS Enrolment.Status attribute.</t>
  </si>
  <si>
    <t>Course Code</t>
  </si>
  <si>
    <t>The unique alpha-numeric code identifying a qualification offering (e.g. Bachelor of Science). Links curriculum, academic rules, CRICOS registration and TCSI reporting.</t>
  </si>
  <si>
    <t>Course</t>
  </si>
  <si>
    <t>Academic Director / VP Academic</t>
  </si>
  <si>
    <t>SIS / Curriculum Team</t>
  </si>
  <si>
    <t>Curriculum &amp; Quality Office</t>
  </si>
  <si>
    <t>Curriculum Management System</t>
  </si>
  <si>
    <t>SIS, LMS, CRICOS, TCSI, Course Handbook, Analytics</t>
  </si>
  <si>
    <t>CI-CRS-001</t>
  </si>
  <si>
    <t>iSRV-2204</t>
  </si>
  <si>
    <t>TEQSA accreditation; CRICOS registration; TCSI mandatory field</t>
  </si>
  <si>
    <t>No</t>
  </si>
  <si>
    <t>Permanent (CRICOS and TEQSA records)</t>
  </si>
  <si>
    <t>9</t>
  </si>
  <si>
    <t>All enrolments reference Course Code. Incorrect code breaks CRICOS compliance and TCSI submissions.</t>
  </si>
  <si>
    <t>Must match CRICOS register; unique per offering version; must not be reused on course closure</t>
  </si>
  <si>
    <t>Version control inconsistency between curriculum system and SIS</t>
  </si>
  <si>
    <t>2026-02-15</t>
  </si>
  <si>
    <t>Aligns to MortarCAPS Course entity.</t>
  </si>
  <si>
    <t>CHESSN / HEIMS ID</t>
  </si>
  <si>
    <t>Commonwealth Higher Education Student Support Number — the national student identifier assigned by the Australian Government (DESE). Mandatory for all domestic students accessing Commonwealth-supported places or HECS-HELP.</t>
  </si>
  <si>
    <t>SIS Team / DESE Liaison</t>
  </si>
  <si>
    <t>SIS, TCSI/HEIMS, Finance (HECS), DESE Portal</t>
  </si>
  <si>
    <t>CI-REG-001</t>
  </si>
  <si>
    <t>iSRV-2205</t>
  </si>
  <si>
    <t>Higher Education Support Act 2003; TEQSA; TCSI mandatory; HECS-HELP</t>
  </si>
  <si>
    <t>Permanent</t>
  </si>
  <si>
    <t>Mandatory for all HECS/HELP eligible students. Missing = inability to submit TCSI. Financial penalty risk.</t>
  </si>
  <si>
    <t>Must be obtained from HEIMS prior to census date; must be unique per student; cannot be null for domestic CSP students</t>
  </si>
  <si>
    <t>Approx 2% of records missing CHESSN — legacy data quality issue</t>
  </si>
  <si>
    <t>Bi-Annual</t>
  </si>
  <si>
    <t>Government-issued. Source of truth is HEIMS, not SIS.</t>
  </si>
  <si>
    <t>Employee ID</t>
  </si>
  <si>
    <t>The unique, persistent identifier assigned to every member of staff at the institution. Master key for all HR, payroll, access management and research records.</t>
  </si>
  <si>
    <t>Employment</t>
  </si>
  <si>
    <t>Chief People Officer / HR Director</t>
  </si>
  <si>
    <t>HR Systems Team</t>
  </si>
  <si>
    <t>Human Resource Information System (HRIS)</t>
  </si>
  <si>
    <t>HRIS, Payroll, IAM/Active Directory, Finance, Research</t>
  </si>
  <si>
    <t>CI-HR-001</t>
  </si>
  <si>
    <t>iSRV-2206</t>
  </si>
  <si>
    <t>Fair Work Act 2009; Privacy Act 1988; ARC grant employment verification</t>
  </si>
  <si>
    <t>7 years post-employment</t>
  </si>
  <si>
    <t>Master key for payroll, access rights, ARC grant compliance. Loss causes payroll failure and security risk.</t>
  </si>
  <si>
    <t>Must be unique; cannot be reused; must link to single Person record; must match Active Directory UID</t>
  </si>
  <si>
    <t>Some casual staff records have duplicate IDs from HRIS migration</t>
  </si>
  <si>
    <t>2026-01-20</t>
  </si>
  <si>
    <t>Links to HERM Person (Foundation) entity.</t>
  </si>
  <si>
    <t>Cost Centre Code</t>
  </si>
  <si>
    <t>The financial classification code identifying the organisational unit responsible for a budget, expenditure or revenue item. Core element of financial reporting and grant management.</t>
  </si>
  <si>
    <t>FinancialAccount</t>
  </si>
  <si>
    <t>CFO / Finance Director</t>
  </si>
  <si>
    <t>Finance Systems Team</t>
  </si>
  <si>
    <t>Finance System (ERP)</t>
  </si>
  <si>
    <t>Finance ERP, Payroll, Research Grants, HRIS, Analytics</t>
  </si>
  <si>
    <t>CI-FIN-001</t>
  </si>
  <si>
    <t>iSRV-2207</t>
  </si>
  <si>
    <t>AASB accounting standards; ARC/NHMRC grant reporting; EFTSL funding formula</t>
  </si>
  <si>
    <t>7 years (financial records retention)</t>
  </si>
  <si>
    <t>All expenditure and revenue transactions reference cost centre. Incorrect mapping breaks financial reporting and grant compliance.</t>
  </si>
  <si>
    <t>Must exist in approved chart of accounts; must have active status; must map to org unit hierarchy</t>
  </si>
  <si>
    <t>Orphaned cost centres from restructured faculties still active in system</t>
  </si>
  <si>
    <t>2026-01-15</t>
  </si>
  <si>
    <t>🖥️ Application Map — CDE to Application Relationship Matrix</t>
  </si>
  <si>
    <t>Maps each CDE to the applications that own or consume it. One row per CDE–Application relationship.</t>
  </si>
  <si>
    <t>App Map ID</t>
  </si>
  <si>
    <t>Application Name</t>
  </si>
  <si>
    <t>Application Type</t>
  </si>
  <si>
    <t>Vendor / Product</t>
  </si>
  <si>
    <t>Relationship</t>
  </si>
  <si>
    <t>Data Flow Direction</t>
  </si>
  <si>
    <t>Integration Method</t>
  </si>
  <si>
    <t>API / Interface Name</t>
  </si>
  <si>
    <t>iServer App ID</t>
  </si>
  <si>
    <t>Data Quality Risk</t>
  </si>
  <si>
    <t>Business Criticality</t>
  </si>
  <si>
    <t>Audit Notes</t>
  </si>
  <si>
    <t>APP-001</t>
  </si>
  <si>
    <t>SIS</t>
  </si>
  <si>
    <t>TechnologyOne StudentOne</t>
  </si>
  <si>
    <t>CDE-001</t>
  </si>
  <si>
    <t>System of Record</t>
  </si>
  <si>
    <t>Outbound</t>
  </si>
  <si>
    <t>API (REST)</t>
  </si>
  <si>
    <t>SIS-CORE-API</t>
  </si>
  <si>
    <t>iSRV-APP-101</t>
  </si>
  <si>
    <t>Low</t>
  </si>
  <si>
    <t>Mission Critical</t>
  </si>
  <si>
    <t>Primary SoR for Student ID. All downstream systems must consume, not duplicate.</t>
  </si>
  <si>
    <t>APP-002</t>
  </si>
  <si>
    <t>Tertiary Collection (TCSI)</t>
  </si>
  <si>
    <t>Other</t>
  </si>
  <si>
    <t>DESE TCSI Portal</t>
  </si>
  <si>
    <t>Primary Consumer</t>
  </si>
  <si>
    <t>File Transfer (SFTP)</t>
  </si>
  <si>
    <t>TCSI-XML-Export</t>
  </si>
  <si>
    <t>CI-REG-TCSI</t>
  </si>
  <si>
    <t>iSRV-APP-102</t>
  </si>
  <si>
    <t>Medium</t>
  </si>
  <si>
    <t>Regulatory submission — incorrect Student ID causes rejected submission.</t>
  </si>
  <si>
    <t>APP-003</t>
  </si>
  <si>
    <t>Learning Management System (LMS)</t>
  </si>
  <si>
    <t>LMS</t>
  </si>
  <si>
    <t>Canvas / Blackboard</t>
  </si>
  <si>
    <t>Inbound</t>
  </si>
  <si>
    <t>SIS-LMS-Sync</t>
  </si>
  <si>
    <t>CI-LMS-001</t>
  </si>
  <si>
    <t>iSRV-APP-103</t>
  </si>
  <si>
    <t>Business Critical</t>
  </si>
  <si>
    <t>Receives Student ID from SIS via nightly sync. LMS is not the SoR.</t>
  </si>
  <si>
    <t>APP-004</t>
  </si>
  <si>
    <t>Finance / ERP</t>
  </si>
  <si>
    <t>ERP/Finance</t>
  </si>
  <si>
    <t>TechnologyOne Finance</t>
  </si>
  <si>
    <t>Database Link</t>
  </si>
  <si>
    <t>SIS-FIN-DBLink</t>
  </si>
  <si>
    <t>iSRV-APP-104</t>
  </si>
  <si>
    <t>Fee assessment and HECS-HELP liability linked to Student ID.</t>
  </si>
  <si>
    <t>APP-005</t>
  </si>
  <si>
    <t>CDE-005</t>
  </si>
  <si>
    <t>Bi-directional</t>
  </si>
  <si>
    <t>HEIMS-API</t>
  </si>
  <si>
    <t>High</t>
  </si>
  <si>
    <t>CHESSN sourced from HEIMS — SIS must update within DESE SLA.</t>
  </si>
  <si>
    <t>APP-006</t>
  </si>
  <si>
    <t>HRIS</t>
  </si>
  <si>
    <t>Workday / PageUp</t>
  </si>
  <si>
    <t>CDE-006</t>
  </si>
  <si>
    <t>HRIS-Core-API</t>
  </si>
  <si>
    <t>iSRV-APP-201</t>
  </si>
  <si>
    <t>Master SoR for Employee ID. IAM and Payroll must consume from HRIS only.</t>
  </si>
  <si>
    <t>⚖️ CDE Criticality Scoring Methodology</t>
  </si>
  <si>
    <t>Use this model to justify the Criticality Score (1–10) entered in the CDE Register. Score is a consensus judgment, not a formula.</t>
  </si>
  <si>
    <t>SCORING DIMENSIONS</t>
  </si>
  <si>
    <t>Dimension</t>
  </si>
  <si>
    <t>Regulatory / Compliance Impact</t>
  </si>
  <si>
    <t>Operational Impact</t>
  </si>
  <si>
    <t>Privacy / Security Risk</t>
  </si>
  <si>
    <t>Financial Impact</t>
  </si>
  <si>
    <t>Student/Staff Experience</t>
  </si>
  <si>
    <t>SCORING SCALE</t>
  </si>
  <si>
    <t>Score Range</t>
  </si>
  <si>
    <t>Classification</t>
  </si>
  <si>
    <t>Recommended Action</t>
  </si>
  <si>
    <t>9–10</t>
  </si>
  <si>
    <t>🔴 MISSION CRITICAL</t>
  </si>
  <si>
    <t>Immediate governance, daily monitoring, executive-level ownership required. Zero tolerance for data quality issues.</t>
  </si>
  <si>
    <t>7–8</t>
  </si>
  <si>
    <t>🟠 BUSINESS CRITICAL</t>
  </si>
  <si>
    <t>Formal data stewardship, weekly quality checks, SLA-governed system of record.</t>
  </si>
  <si>
    <t>5–6</t>
  </si>
  <si>
    <t>🟡 IMPORTANT</t>
  </si>
  <si>
    <t>Data steward assigned, monthly quality review, documented in data catalog.</t>
  </si>
  <si>
    <t>1–4</t>
  </si>
  <si>
    <t>🟢 STANDARD</t>
  </si>
  <si>
    <t>Normal data management practices apply. Include in data catalog but de-prioritise governance effort.</t>
  </si>
  <si>
    <t>SCORING WORKED EXAMPLE — Student ID</t>
  </si>
  <si>
    <t>Regulatory Impact</t>
  </si>
  <si>
    <t>TCSI mandatory field. ESOS CoE reference. Submission rejection if missing.</t>
  </si>
  <si>
    <t>3 — High</t>
  </si>
  <si>
    <t>All downstream systems keyed on Student ID. Loss = system-wide failure.</t>
  </si>
  <si>
    <t>Personal identifier — subject to Privacy Act 1988.</t>
  </si>
  <si>
    <t>Fee assessment and HECS/HELP liability linked to Student ID.</t>
  </si>
  <si>
    <t>Students cannot be identified, enrolled, or graded without it.</t>
  </si>
  <si>
    <t>COMPOSITE SCORE</t>
  </si>
  <si>
    <t>15/15 → Normalised to 10/10</t>
  </si>
  <si>
    <t>→ SCORE: 10</t>
  </si>
  <si>
    <t>🔗 CDE Export — ServiceNow CMDB &amp; Orbus iServer Import Format</t>
  </si>
  <si>
    <t>Flat file format for import into ServiceNow CMDB (Configuration Items) or Orbus iServer (Data Objects). Field names match common CMDB attribute conventions.</t>
  </si>
  <si>
    <t>CDE_ID</t>
  </si>
  <si>
    <t>CDE_Name</t>
  </si>
  <si>
    <t>HERM_Category</t>
  </si>
  <si>
    <t>HERM_Domain</t>
  </si>
  <si>
    <t>HERM_Entity</t>
  </si>
  <si>
    <t>MortarCAPS_Entity</t>
  </si>
  <si>
    <t>Data_Classification</t>
  </si>
  <si>
    <t>Data_Steward</t>
  </si>
  <si>
    <t>Data_Custodian</t>
  </si>
  <si>
    <t>Business_Unit</t>
  </si>
  <si>
    <t>System_of_Record</t>
  </si>
  <si>
    <t>ServiceNow_CI_Ref</t>
  </si>
  <si>
    <t>iServer_Object_ID</t>
  </si>
  <si>
    <t>Regulatory_Obligation</t>
  </si>
  <si>
    <t>Privacy_Relevant</t>
  </si>
  <si>
    <t>Criticality_Score</t>
  </si>
  <si>
    <t>Last_Reviewed</t>
  </si>
  <si>
    <t>Business_Definition_Short</t>
  </si>
  <si>
    <t>TCSI mandatory; ESOS CoE linkage; Privacy Act</t>
  </si>
  <si>
    <t>Unique persistent identifier for every student. Master key across all systems.</t>
  </si>
  <si>
    <t>CDE-002</t>
  </si>
  <si>
    <t>Privacy Act 1988; TCSI mandatory; ESOS CoE</t>
  </si>
  <si>
    <t>Legal name as on government ID. Required for TCSI, ESOS, transcripts.</t>
  </si>
  <si>
    <t>CDE-003</t>
  </si>
  <si>
    <t>TCSI (census date); ESOS CoE; HECS/HELP</t>
  </si>
  <si>
    <t>Current enrolment state. Drives fee, TCSI, ESOS and LMS access.</t>
  </si>
  <si>
    <t>CDE-004</t>
  </si>
  <si>
    <t>VP Academic</t>
  </si>
  <si>
    <t>TEQSA accreditation; CRICOS; TCSI</t>
  </si>
  <si>
    <t>Unique identifier for a qualification offering. Links enrolment, CRICOS and TCSI.</t>
  </si>
  <si>
    <t>Higher Education Support Act 2003; TEQSA; TCSI; HECS-HELP</t>
  </si>
  <si>
    <t>National student identifier for domestic students. Mandatory for HECS/HELP.</t>
  </si>
  <si>
    <t>Chief People Officer</t>
  </si>
  <si>
    <t>Fair Work Act 2009; Privacy Act; ARC grant compliance</t>
  </si>
  <si>
    <t>Unique persistent staff identifier. Master key for payroll, IAM and research.</t>
  </si>
  <si>
    <t>CDE-007</t>
  </si>
  <si>
    <t>CFO</t>
  </si>
  <si>
    <t>AASB standards; ARC/NHMRC grant reporting</t>
  </si>
  <si>
    <t>Financial classification code linking expenditure to organisational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</si>
</sst>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1"/>
    </font>
    <font>
      <b/>
      <sz val="22"/>
      <color rgb="FFFFFFFF"/>
      <name val="Arial"/>
      <charset val="1"/>
    </font>
    <font>
      <sz val="11"/>
      <color rgb="FFFFFFFF"/>
      <name val="Arial"/>
      <charset val="1"/>
    </font>
    <font>
      <b/>
      <sz val="10"/>
      <color rgb="FFFFFFFF"/>
      <name val="Arial"/>
      <charset val="1"/>
    </font>
    <font>
      <b/>
      <sz val="10"/>
      <color rgb="FF2E75B6"/>
      <name val="Arial"/>
      <charset val="1"/>
    </font>
    <font>
      <sz val="10"/>
      <color rgb="FF404040"/>
      <name val="Arial"/>
      <charset val="1"/>
    </font>
    <font>
      <b/>
      <sz val="18"/>
      <color rgb="FFFFFFFF"/>
      <name val="Arial"/>
      <charset val="1"/>
    </font>
    <font>
      <i/>
      <sz val="10"/>
      <color rgb="FFFFFFFF"/>
      <name val="Arial"/>
      <charset val="1"/>
    </font>
    <font>
      <sz val="9"/>
      <color rgb="FF404040"/>
      <name val="Arial"/>
      <charset val="1"/>
    </font>
    <font>
      <b/>
      <sz val="9"/>
      <color rgb="FF404040"/>
      <name val="Arial"/>
      <charset val="1"/>
    </font>
    <font>
      <b/>
      <sz val="20"/>
      <color rgb="FFFFFFFF"/>
      <name val="Arial"/>
      <charset val="1"/>
    </font>
    <font>
      <b/>
      <sz val="9"/>
      <color rgb="FFFFFFFF"/>
      <name val="Arial"/>
      <charset val="1"/>
    </font>
    <font>
      <b/>
      <sz val="10"/>
      <color rgb="FFC00000"/>
      <name val="Arial"/>
      <charset val="1"/>
    </font>
    <font>
      <b/>
      <sz val="9"/>
      <color rgb="FF2E75B6"/>
      <name val="Arial"/>
      <charset val="1"/>
    </font>
    <font>
      <b/>
      <sz val="16"/>
      <color rgb="FFFFFFFF"/>
      <name val="Arial"/>
      <charset val="1"/>
    </font>
    <font>
      <i/>
      <sz val="9"/>
      <color rgb="FFFFFFFF"/>
      <name val="Arial"/>
      <charset val="1"/>
    </font>
    <font>
      <b/>
      <sz val="9"/>
      <color rgb="FFC00000"/>
      <name val="Arial"/>
      <charset val="1"/>
    </font>
  </fonts>
  <fills count="16">
    <fill>
      <patternFill patternType="none"/>
    </fill>
    <fill>
      <patternFill patternType="gray125"/>
    </fill>
    <fill>
      <patternFill patternType="solid">
        <fgColor rgb="FF1F3864"/>
        <bgColor rgb="FF404040"/>
      </patternFill>
    </fill>
    <fill>
      <patternFill patternType="solid">
        <fgColor rgb="FF2E75B6"/>
        <bgColor rgb="FF0066CC"/>
      </patternFill>
    </fill>
    <fill>
      <patternFill patternType="solid">
        <fgColor rgb="FFDEEAF1"/>
        <bgColor rgb="FFE2EFDA"/>
      </patternFill>
    </fill>
    <fill>
      <patternFill patternType="solid">
        <fgColor rgb="FFFFFFFF"/>
        <bgColor rgb="FFF2F2F2"/>
      </patternFill>
    </fill>
    <fill>
      <patternFill patternType="solid">
        <fgColor rgb="FFFFF2CC"/>
        <bgColor rgb="FFFCE4D6"/>
      </patternFill>
    </fill>
    <fill>
      <patternFill patternType="solid">
        <fgColor rgb="FFE2EFDA"/>
        <bgColor rgb="FFDEEAF1"/>
      </patternFill>
    </fill>
    <fill>
      <patternFill patternType="solid">
        <fgColor rgb="FF7030A0"/>
        <bgColor rgb="FF993366"/>
      </patternFill>
    </fill>
    <fill>
      <patternFill patternType="solid">
        <fgColor rgb="FF1F5C2E"/>
        <bgColor rgb="FF404040"/>
      </patternFill>
    </fill>
    <fill>
      <patternFill patternType="solid">
        <fgColor rgb="FF7B3F00"/>
        <bgColor rgb="FF993366"/>
      </patternFill>
    </fill>
    <fill>
      <patternFill patternType="solid">
        <fgColor rgb="FF8B0000"/>
        <bgColor rgb="FF800000"/>
      </patternFill>
    </fill>
    <fill>
      <patternFill patternType="solid">
        <fgColor rgb="FF004B6B"/>
        <bgColor rgb="FF1F3864"/>
      </patternFill>
    </fill>
    <fill>
      <patternFill patternType="solid">
        <fgColor rgb="FF404040"/>
        <bgColor rgb="FF1F3864"/>
      </patternFill>
    </fill>
    <fill>
      <patternFill patternType="solid">
        <fgColor rgb="FFFCE4D6"/>
        <bgColor rgb="FFFFF2CC"/>
      </patternFill>
    </fill>
    <fill>
      <patternFill patternType="solid">
        <fgColor rgb="FFF2F2F2"/>
        <b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44">
    <xf numFmtId="0" fontId="0" fillId="0" borderId="0" xfId="0"/>
    <xf numFmtId="0" fontId="3" fillId="2" borderId="0" xfId="0" applyFont="1" applyFill="1" applyAlignment="1">
      <alignment horizontal="left" vertical="center" indent="1"/>
    </xf>
    <xf numFmtId="0" fontId="4" fillId="4"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4" borderId="1" xfId="0" applyFont="1" applyFill="1" applyBorder="1"/>
    <xf numFmtId="0" fontId="9" fillId="6" borderId="1" xfId="0" applyFont="1" applyFill="1" applyBorder="1"/>
    <xf numFmtId="0" fontId="9" fillId="7" borderId="1" xfId="0" applyFont="1" applyFill="1" applyBorder="1"/>
    <xf numFmtId="0" fontId="11" fillId="13"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12" fillId="14" borderId="1"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0" fontId="0" fillId="5" borderId="1" xfId="0" applyFill="1" applyBorder="1"/>
    <xf numFmtId="0" fontId="13" fillId="15" borderId="1" xfId="0" applyFont="1" applyFill="1" applyBorder="1" applyAlignment="1">
      <alignment horizontal="center" vertical="center" wrapText="1"/>
    </xf>
    <xf numFmtId="0" fontId="0" fillId="15" borderId="1" xfId="0" applyFill="1" applyBorder="1"/>
    <xf numFmtId="0" fontId="11" fillId="2"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16" fillId="14" borderId="1" xfId="0" applyFont="1" applyFill="1" applyBorder="1" applyAlignment="1">
      <alignment horizontal="left" vertical="center" wrapText="1"/>
    </xf>
    <xf numFmtId="0" fontId="3" fillId="2" borderId="0" xfId="0" applyFont="1" applyFill="1" applyAlignment="1">
      <alignment horizontal="left" vertical="center" indent="1"/>
    </xf>
    <xf numFmtId="0" fontId="6" fillId="2" borderId="0" xfId="0" applyFont="1" applyFill="1" applyAlignment="1">
      <alignment horizontal="left" vertical="center" indent="2"/>
    </xf>
    <xf numFmtId="0" fontId="7" fillId="3" borderId="0" xfId="0" applyFont="1" applyFill="1" applyAlignment="1">
      <alignment horizontal="left" vertical="center" indent="2"/>
    </xf>
    <xf numFmtId="0" fontId="5" fillId="5"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1" fillId="2" borderId="0" xfId="0" applyFont="1" applyFill="1" applyAlignment="1">
      <alignment horizontal="left" vertical="center" indent="2"/>
    </xf>
    <xf numFmtId="0" fontId="2" fillId="3" borderId="0" xfId="0" applyFont="1" applyFill="1" applyAlignment="1">
      <alignment horizontal="left" vertical="center" indent="2"/>
    </xf>
    <xf numFmtId="0" fontId="10" fillId="2" borderId="0" xfId="0" applyFont="1" applyFill="1" applyAlignment="1">
      <alignment horizontal="left" vertical="center" indent="2"/>
    </xf>
    <xf numFmtId="0" fontId="11" fillId="2" borderId="0" xfId="0" applyFont="1" applyFill="1" applyAlignment="1">
      <alignment horizontal="center" vertical="center" wrapText="1"/>
    </xf>
    <xf numFmtId="0" fontId="11" fillId="3" borderId="0" xfId="0" applyFont="1" applyFill="1" applyAlignment="1">
      <alignment horizontal="center" vertical="center" wrapText="1"/>
    </xf>
    <xf numFmtId="0" fontId="11" fillId="8" borderId="0" xfId="0" applyFont="1" applyFill="1" applyAlignment="1">
      <alignment horizontal="center" vertical="center" wrapText="1"/>
    </xf>
    <xf numFmtId="0" fontId="11" fillId="9" borderId="0" xfId="0" applyFont="1" applyFill="1" applyAlignment="1">
      <alignment horizontal="center" vertical="center" wrapText="1"/>
    </xf>
    <xf numFmtId="0" fontId="11" fillId="10" borderId="0" xfId="0" applyFont="1" applyFill="1" applyAlignment="1">
      <alignment horizontal="center" vertical="center" wrapText="1"/>
    </xf>
    <xf numFmtId="0" fontId="11" fillId="11" borderId="0" xfId="0" applyFont="1" applyFill="1" applyAlignment="1">
      <alignment horizontal="center" vertical="center" wrapText="1"/>
    </xf>
    <xf numFmtId="0" fontId="11" fillId="12" borderId="0" xfId="0" applyFont="1" applyFill="1" applyAlignment="1">
      <alignment horizontal="center" vertical="center" wrapText="1"/>
    </xf>
    <xf numFmtId="0" fontId="11" fillId="13" borderId="0" xfId="0" applyFont="1" applyFill="1" applyAlignment="1">
      <alignment horizontal="center" vertical="center" wrapText="1"/>
    </xf>
    <xf numFmtId="0" fontId="14" fillId="2" borderId="0" xfId="0" applyFont="1" applyFill="1" applyAlignment="1">
      <alignment horizontal="left" vertical="center" indent="2"/>
    </xf>
    <xf numFmtId="0" fontId="15" fillId="3" borderId="0" xfId="0" applyFont="1" applyFill="1" applyAlignment="1">
      <alignment horizontal="left" vertical="center" indent="2"/>
    </xf>
    <xf numFmtId="0" fontId="0" fillId="2" borderId="0" xfId="0" applyFill="1" applyAlignme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1F5C2E"/>
      <rgbColor rgb="FF000080"/>
      <rgbColor rgb="FF808000"/>
      <rgbColor rgb="FF800080"/>
      <rgbColor rgb="FF008080"/>
      <rgbColor rgb="FFBFBFBF"/>
      <rgbColor rgb="FF808080"/>
      <rgbColor rgb="FF9999FF"/>
      <rgbColor rgb="FF7030A0"/>
      <rgbColor rgb="FFFFF2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33300"/>
      <rgbColor rgb="FF7B3F00"/>
      <rgbColor rgb="FF993366"/>
      <rgbColor rgb="FF004B6B"/>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6"/>
  <sheetViews>
    <sheetView showGridLines="0" topLeftCell="A5" zoomScaleNormal="100" workbookViewId="0"/>
  </sheetViews>
  <sheetFormatPr defaultColWidth="8.7109375" defaultRowHeight="14.45"/>
  <cols>
    <col min="1" max="1" width="3" customWidth="1"/>
    <col min="2" max="2" width="28" customWidth="1"/>
    <col min="3" max="3" width="70" customWidth="1"/>
    <col min="4" max="4" width="35" customWidth="1"/>
  </cols>
  <sheetData>
    <row r="1" spans="2:4" ht="12" customHeight="1"/>
    <row r="2" spans="2:4" ht="48" customHeight="1">
      <c r="B2" s="30" t="s">
        <v>0</v>
      </c>
      <c r="C2" s="30"/>
      <c r="D2" s="30"/>
    </row>
    <row r="3" spans="2:4" ht="27.75" customHeight="1">
      <c r="B3" s="31" t="s">
        <v>1</v>
      </c>
      <c r="C3" s="31"/>
      <c r="D3" s="31"/>
    </row>
    <row r="5" spans="2:4" ht="39.75" customHeight="1">
      <c r="B5" s="1" t="s">
        <v>2</v>
      </c>
      <c r="C5" s="43"/>
      <c r="D5" s="43"/>
    </row>
    <row r="6" spans="2:4" ht="36" customHeight="1">
      <c r="B6" s="2" t="s">
        <v>3</v>
      </c>
      <c r="C6" s="28" t="s">
        <v>4</v>
      </c>
      <c r="D6" s="28"/>
    </row>
    <row r="8" spans="2:4" ht="39.75" customHeight="1">
      <c r="B8" s="1" t="s">
        <v>5</v>
      </c>
      <c r="C8" s="43"/>
      <c r="D8" s="43"/>
    </row>
    <row r="9" spans="2:4" ht="36" customHeight="1">
      <c r="B9" s="2" t="s">
        <v>6</v>
      </c>
      <c r="C9" s="29" t="s">
        <v>7</v>
      </c>
      <c r="D9" s="29"/>
    </row>
    <row r="10" spans="2:4" ht="36" customHeight="1">
      <c r="B10" s="2" t="s">
        <v>8</v>
      </c>
      <c r="C10" s="29" t="s">
        <v>9</v>
      </c>
      <c r="D10" s="29"/>
    </row>
    <row r="11" spans="2:4" ht="36" customHeight="1">
      <c r="B11" s="2" t="s">
        <v>10</v>
      </c>
      <c r="C11" s="29" t="s">
        <v>11</v>
      </c>
      <c r="D11" s="29"/>
    </row>
    <row r="12" spans="2:4" ht="36" customHeight="1">
      <c r="B12" s="2" t="s">
        <v>12</v>
      </c>
      <c r="C12" s="29" t="s">
        <v>13</v>
      </c>
      <c r="D12" s="29"/>
    </row>
    <row r="13" spans="2:4" ht="36" customHeight="1">
      <c r="B13" s="2" t="s">
        <v>14</v>
      </c>
      <c r="C13" s="29" t="s">
        <v>15</v>
      </c>
      <c r="D13" s="29"/>
    </row>
    <row r="14" spans="2:4" ht="36" customHeight="1">
      <c r="B14" s="2" t="s">
        <v>16</v>
      </c>
      <c r="C14" s="29" t="s">
        <v>17</v>
      </c>
      <c r="D14" s="29"/>
    </row>
    <row r="16" spans="2:4" ht="39.75" customHeight="1">
      <c r="B16" s="1" t="s">
        <v>18</v>
      </c>
      <c r="C16" s="43"/>
      <c r="D16" s="43"/>
    </row>
    <row r="17" spans="2:4" ht="36" customHeight="1">
      <c r="B17" s="2" t="s">
        <v>19</v>
      </c>
      <c r="C17" s="28" t="s">
        <v>20</v>
      </c>
      <c r="D17" s="28"/>
    </row>
    <row r="18" spans="2:4" ht="36" customHeight="1">
      <c r="B18" s="2" t="s">
        <v>21</v>
      </c>
      <c r="C18" s="28" t="s">
        <v>22</v>
      </c>
      <c r="D18" s="28"/>
    </row>
    <row r="19" spans="2:4" ht="36" customHeight="1">
      <c r="B19" s="2" t="s">
        <v>23</v>
      </c>
      <c r="C19" s="28" t="s">
        <v>24</v>
      </c>
      <c r="D19" s="28"/>
    </row>
    <row r="20" spans="2:4" ht="36" customHeight="1">
      <c r="B20" s="2" t="s">
        <v>25</v>
      </c>
      <c r="C20" s="28" t="s">
        <v>26</v>
      </c>
      <c r="D20" s="28"/>
    </row>
    <row r="21" spans="2:4" ht="36" customHeight="1">
      <c r="B21" s="2" t="s">
        <v>27</v>
      </c>
      <c r="C21" s="28" t="s">
        <v>28</v>
      </c>
      <c r="D21" s="28"/>
    </row>
    <row r="22" spans="2:4" ht="36" customHeight="1">
      <c r="B22" s="2" t="s">
        <v>29</v>
      </c>
      <c r="C22" s="28" t="s">
        <v>30</v>
      </c>
      <c r="D22" s="28"/>
    </row>
    <row r="24" spans="2:4" ht="39.75" customHeight="1">
      <c r="B24" s="1" t="s">
        <v>31</v>
      </c>
      <c r="C24" s="43"/>
      <c r="D24" s="43"/>
    </row>
    <row r="25" spans="2:4" ht="36" customHeight="1">
      <c r="B25" s="2" t="s">
        <v>32</v>
      </c>
      <c r="C25" s="28" t="s">
        <v>33</v>
      </c>
      <c r="D25" s="28"/>
    </row>
    <row r="26" spans="2:4" ht="36" customHeight="1">
      <c r="B26" s="2" t="s">
        <v>34</v>
      </c>
      <c r="C26" s="28" t="s">
        <v>35</v>
      </c>
      <c r="D26" s="28"/>
    </row>
    <row r="27" spans="2:4" ht="36" customHeight="1">
      <c r="B27" s="2" t="s">
        <v>36</v>
      </c>
      <c r="C27" s="28" t="s">
        <v>37</v>
      </c>
      <c r="D27" s="28"/>
    </row>
    <row r="28" spans="2:4" ht="36" customHeight="1">
      <c r="B28" s="2" t="s">
        <v>38</v>
      </c>
      <c r="C28" s="28" t="s">
        <v>39</v>
      </c>
      <c r="D28" s="28"/>
    </row>
    <row r="29" spans="2:4" ht="36" customHeight="1">
      <c r="B29" s="2" t="s">
        <v>40</v>
      </c>
      <c r="C29" s="28" t="s">
        <v>41</v>
      </c>
      <c r="D29" s="28"/>
    </row>
    <row r="30" spans="2:4" ht="36" customHeight="1">
      <c r="B30" s="2" t="s">
        <v>42</v>
      </c>
      <c r="C30" s="28" t="s">
        <v>43</v>
      </c>
      <c r="D30" s="28"/>
    </row>
    <row r="32" spans="2:4" ht="39.75" customHeight="1">
      <c r="B32" s="1" t="s">
        <v>44</v>
      </c>
      <c r="C32" s="43"/>
      <c r="D32" s="43"/>
    </row>
    <row r="33" spans="2:4" ht="36" customHeight="1">
      <c r="B33" s="2" t="s">
        <v>45</v>
      </c>
      <c r="C33" s="28" t="s">
        <v>46</v>
      </c>
      <c r="D33" s="28"/>
    </row>
    <row r="34" spans="2:4" ht="36" customHeight="1">
      <c r="B34" s="2" t="s">
        <v>47</v>
      </c>
      <c r="C34" s="28" t="s">
        <v>48</v>
      </c>
      <c r="D34" s="28"/>
    </row>
    <row r="35" spans="2:4" ht="36" customHeight="1">
      <c r="B35" s="2" t="s">
        <v>49</v>
      </c>
      <c r="C35" s="28" t="s">
        <v>50</v>
      </c>
      <c r="D35" s="28"/>
    </row>
    <row r="36" spans="2:4" ht="36" customHeight="1">
      <c r="B36" s="2" t="s">
        <v>51</v>
      </c>
      <c r="C36" s="28" t="s">
        <v>52</v>
      </c>
      <c r="D36" s="28"/>
    </row>
  </sheetData>
  <mergeCells count="30">
    <mergeCell ref="B2:D2"/>
    <mergeCell ref="B3:D3"/>
    <mergeCell ref="C5:D5"/>
    <mergeCell ref="C6:D6"/>
    <mergeCell ref="C8:D8"/>
    <mergeCell ref="C9:D9"/>
    <mergeCell ref="C10:D10"/>
    <mergeCell ref="C11:D11"/>
    <mergeCell ref="C12:D12"/>
    <mergeCell ref="C13:D13"/>
    <mergeCell ref="C14:D14"/>
    <mergeCell ref="C16:D16"/>
    <mergeCell ref="C17:D17"/>
    <mergeCell ref="C18:D18"/>
    <mergeCell ref="C19:D19"/>
    <mergeCell ref="C20:D20"/>
    <mergeCell ref="C21:D21"/>
    <mergeCell ref="C22:D22"/>
    <mergeCell ref="C24:D24"/>
    <mergeCell ref="C25:D25"/>
    <mergeCell ref="C26:D26"/>
    <mergeCell ref="C27:D27"/>
    <mergeCell ref="C28:D28"/>
    <mergeCell ref="C29:D29"/>
    <mergeCell ref="C30:D30"/>
    <mergeCell ref="C32:D32"/>
    <mergeCell ref="C33:D33"/>
    <mergeCell ref="C34:D34"/>
    <mergeCell ref="C35:D35"/>
    <mergeCell ref="C36:D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7"/>
  <sheetViews>
    <sheetView showGridLines="0" zoomScaleNormal="100" workbookViewId="0"/>
  </sheetViews>
  <sheetFormatPr defaultColWidth="8.7109375" defaultRowHeight="14.45"/>
  <cols>
    <col min="1" max="1" width="3" customWidth="1"/>
    <col min="2" max="2" width="20" customWidth="1"/>
    <col min="3" max="3" width="28" customWidth="1"/>
    <col min="4" max="4" width="48" customWidth="1"/>
    <col min="5" max="6" width="28" customWidth="1"/>
  </cols>
  <sheetData>
    <row r="1" spans="2:6" ht="9.75" customHeight="1"/>
    <row r="2" spans="2:6" ht="43.5" customHeight="1">
      <c r="B2" s="26" t="s">
        <v>53</v>
      </c>
      <c r="C2" s="26"/>
      <c r="D2" s="26"/>
      <c r="E2" s="26"/>
      <c r="F2" s="26"/>
    </row>
    <row r="3" spans="2:6" ht="24" customHeight="1">
      <c r="B3" s="27" t="s">
        <v>54</v>
      </c>
      <c r="C3" s="27"/>
      <c r="D3" s="27"/>
      <c r="E3" s="27"/>
      <c r="F3" s="27"/>
    </row>
    <row r="5" spans="2:6" ht="36" customHeight="1">
      <c r="B5" s="3" t="s">
        <v>55</v>
      </c>
      <c r="C5" s="3" t="s">
        <v>38</v>
      </c>
      <c r="D5" s="3" t="s">
        <v>56</v>
      </c>
      <c r="E5" s="3" t="s">
        <v>57</v>
      </c>
      <c r="F5" s="3" t="s">
        <v>58</v>
      </c>
    </row>
    <row r="6" spans="2:6" ht="54.75" customHeight="1">
      <c r="B6" s="4" t="s">
        <v>59</v>
      </c>
      <c r="C6" s="5" t="s">
        <v>60</v>
      </c>
      <c r="D6" s="4" t="s">
        <v>61</v>
      </c>
      <c r="E6" s="4" t="s">
        <v>62</v>
      </c>
      <c r="F6" s="4" t="s">
        <v>63</v>
      </c>
    </row>
    <row r="7" spans="2:6" ht="54.75" customHeight="1">
      <c r="B7" s="4" t="s">
        <v>59</v>
      </c>
      <c r="C7" s="5" t="s">
        <v>64</v>
      </c>
      <c r="D7" s="4" t="s">
        <v>65</v>
      </c>
      <c r="E7" s="4" t="s">
        <v>66</v>
      </c>
      <c r="F7" s="4" t="s">
        <v>67</v>
      </c>
    </row>
    <row r="8" spans="2:6" ht="54.75" customHeight="1">
      <c r="B8" s="4" t="s">
        <v>59</v>
      </c>
      <c r="C8" s="5" t="s">
        <v>68</v>
      </c>
      <c r="D8" s="4" t="s">
        <v>69</v>
      </c>
      <c r="E8" s="4" t="s">
        <v>70</v>
      </c>
      <c r="F8" s="4" t="s">
        <v>71</v>
      </c>
    </row>
    <row r="9" spans="2:6" ht="54.75" customHeight="1">
      <c r="B9" s="6" t="s">
        <v>72</v>
      </c>
      <c r="C9" s="7" t="s">
        <v>73</v>
      </c>
      <c r="D9" s="6" t="s">
        <v>74</v>
      </c>
      <c r="E9" s="6" t="s">
        <v>75</v>
      </c>
      <c r="F9" s="6" t="s">
        <v>76</v>
      </c>
    </row>
    <row r="10" spans="2:6" ht="54.75" customHeight="1">
      <c r="B10" s="6" t="s">
        <v>72</v>
      </c>
      <c r="C10" s="7" t="s">
        <v>77</v>
      </c>
      <c r="D10" s="6" t="s">
        <v>78</v>
      </c>
      <c r="E10" s="6" t="s">
        <v>79</v>
      </c>
      <c r="F10" s="6" t="s">
        <v>80</v>
      </c>
    </row>
    <row r="11" spans="2:6" ht="54.75" customHeight="1">
      <c r="B11" s="6" t="s">
        <v>72</v>
      </c>
      <c r="C11" s="7" t="s">
        <v>81</v>
      </c>
      <c r="D11" s="6" t="s">
        <v>82</v>
      </c>
      <c r="E11" s="6" t="s">
        <v>83</v>
      </c>
      <c r="F11" s="6" t="s">
        <v>84</v>
      </c>
    </row>
    <row r="12" spans="2:6" ht="54.75" customHeight="1">
      <c r="B12" s="8" t="s">
        <v>85</v>
      </c>
      <c r="C12" s="9" t="s">
        <v>86</v>
      </c>
      <c r="D12" s="8" t="s">
        <v>87</v>
      </c>
      <c r="E12" s="8" t="s">
        <v>88</v>
      </c>
      <c r="F12" s="8" t="s">
        <v>89</v>
      </c>
    </row>
    <row r="13" spans="2:6" ht="54.75" customHeight="1">
      <c r="B13" s="8" t="s">
        <v>85</v>
      </c>
      <c r="C13" s="9" t="s">
        <v>90</v>
      </c>
      <c r="D13" s="8" t="s">
        <v>91</v>
      </c>
      <c r="E13" s="8" t="s">
        <v>92</v>
      </c>
      <c r="F13" s="8" t="s">
        <v>93</v>
      </c>
    </row>
    <row r="14" spans="2:6" ht="54.75" customHeight="1">
      <c r="B14" s="8" t="s">
        <v>85</v>
      </c>
      <c r="C14" s="9" t="s">
        <v>94</v>
      </c>
      <c r="D14" s="8" t="s">
        <v>95</v>
      </c>
      <c r="E14" s="8" t="s">
        <v>96</v>
      </c>
      <c r="F14" s="8" t="s">
        <v>97</v>
      </c>
    </row>
    <row r="15" spans="2:6" ht="54.75" customHeight="1">
      <c r="B15" s="8" t="s">
        <v>85</v>
      </c>
      <c r="C15" s="9" t="s">
        <v>98</v>
      </c>
      <c r="D15" s="8" t="s">
        <v>99</v>
      </c>
      <c r="E15" s="8" t="s">
        <v>100</v>
      </c>
      <c r="F15" s="8" t="s">
        <v>101</v>
      </c>
    </row>
    <row r="17" spans="2:4" ht="24" customHeight="1">
      <c r="B17" s="10" t="s">
        <v>102</v>
      </c>
      <c r="C17" s="11" t="s">
        <v>103</v>
      </c>
      <c r="D17" s="12" t="s">
        <v>104</v>
      </c>
    </row>
  </sheetData>
  <mergeCells count="2">
    <mergeCell ref="B2:F2"/>
    <mergeCell ref="B3:F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33"/>
  <sheetViews>
    <sheetView showGridLines="0" zoomScaleNormal="100" workbookViewId="0">
      <pane xSplit="2" ySplit="6" topLeftCell="C11" activePane="bottomRight" state="frozen"/>
      <selection pane="bottomRight" activeCell="B9" sqref="B9"/>
      <selection pane="bottomLeft" activeCell="A7" sqref="A7"/>
      <selection pane="topRight" activeCell="C1" sqref="C1"/>
    </sheetView>
  </sheetViews>
  <sheetFormatPr defaultColWidth="8.7109375" defaultRowHeight="14.45"/>
  <cols>
    <col min="1" max="1" width="3" customWidth="1"/>
    <col min="2" max="2" width="12" customWidth="1"/>
    <col min="3" max="3" width="32" customWidth="1"/>
    <col min="4" max="4" width="48" customWidth="1"/>
    <col min="5" max="6" width="22" customWidth="1"/>
    <col min="7" max="8" width="28" customWidth="1"/>
    <col min="9" max="9" width="22" customWidth="1"/>
    <col min="10" max="11" width="26" customWidth="1"/>
    <col min="12" max="12" width="24" customWidth="1"/>
    <col min="13" max="13" width="32" customWidth="1"/>
    <col min="14" max="14" width="48" customWidth="1"/>
    <col min="15" max="16" width="18" customWidth="1"/>
    <col min="17" max="17" width="36" customWidth="1"/>
    <col min="18" max="19" width="18" customWidth="1"/>
    <col min="20" max="20" width="14" customWidth="1"/>
    <col min="21" max="22" width="36" customWidth="1"/>
    <col min="23" max="23" width="28" customWidth="1"/>
    <col min="24" max="26" width="18" customWidth="1"/>
    <col min="27" max="27" width="36" customWidth="1"/>
  </cols>
  <sheetData>
    <row r="2" spans="2:27" ht="24.6">
      <c r="B2" s="32" t="s">
        <v>105</v>
      </c>
      <c r="C2" s="32"/>
      <c r="D2" s="32"/>
      <c r="E2" s="32"/>
      <c r="F2" s="32"/>
      <c r="G2" s="32"/>
      <c r="H2" s="32"/>
      <c r="I2" s="32"/>
      <c r="J2" s="32"/>
      <c r="K2" s="32"/>
      <c r="L2" s="32"/>
      <c r="M2" s="32"/>
      <c r="N2" s="32"/>
      <c r="O2" s="32"/>
      <c r="P2" s="32"/>
      <c r="Q2" s="32"/>
      <c r="R2" s="32"/>
      <c r="S2" s="32"/>
      <c r="T2" s="32"/>
      <c r="U2" s="32"/>
      <c r="V2" s="32"/>
      <c r="W2" s="32"/>
      <c r="X2" s="32"/>
      <c r="Y2" s="32"/>
      <c r="Z2" s="32"/>
      <c r="AA2" s="32"/>
    </row>
    <row r="3" spans="2:27">
      <c r="B3" s="27" t="s">
        <v>106</v>
      </c>
      <c r="C3" s="27"/>
      <c r="D3" s="27"/>
      <c r="E3" s="27"/>
      <c r="F3" s="27"/>
      <c r="G3" s="27"/>
      <c r="H3" s="27"/>
      <c r="I3" s="27"/>
      <c r="J3" s="27"/>
      <c r="K3" s="27"/>
      <c r="L3" s="27"/>
      <c r="M3" s="27"/>
      <c r="N3" s="27"/>
      <c r="O3" s="27"/>
      <c r="P3" s="27"/>
      <c r="Q3" s="27"/>
      <c r="R3" s="27"/>
      <c r="S3" s="27"/>
      <c r="T3" s="27"/>
      <c r="U3" s="27"/>
      <c r="V3" s="27"/>
      <c r="W3" s="27"/>
      <c r="X3" s="27"/>
      <c r="Y3" s="27"/>
      <c r="Z3" s="27"/>
      <c r="AA3" s="27"/>
    </row>
    <row r="5" spans="2:27">
      <c r="B5" s="33" t="s">
        <v>107</v>
      </c>
      <c r="C5" s="33"/>
      <c r="D5" s="33"/>
      <c r="E5" s="34" t="s">
        <v>108</v>
      </c>
      <c r="F5" s="34"/>
      <c r="G5" s="34"/>
      <c r="H5" s="34"/>
      <c r="I5" s="34"/>
      <c r="J5" s="35" t="s">
        <v>109</v>
      </c>
      <c r="K5" s="35"/>
      <c r="L5" s="35"/>
      <c r="M5" s="36" t="s">
        <v>110</v>
      </c>
      <c r="N5" s="36"/>
      <c r="O5" s="36"/>
      <c r="P5" s="36"/>
      <c r="Q5" s="37" t="s">
        <v>111</v>
      </c>
      <c r="R5" s="37"/>
      <c r="S5" s="37"/>
      <c r="T5" s="38" t="s">
        <v>112</v>
      </c>
      <c r="U5" s="38"/>
      <c r="V5" s="39" t="s">
        <v>113</v>
      </c>
      <c r="W5" s="39"/>
      <c r="X5" s="40" t="s">
        <v>114</v>
      </c>
      <c r="Y5" s="40"/>
      <c r="Z5" s="40"/>
      <c r="AA5" s="40"/>
    </row>
    <row r="6" spans="2:27" ht="24">
      <c r="B6" s="13" t="s">
        <v>115</v>
      </c>
      <c r="C6" s="13" t="s">
        <v>116</v>
      </c>
      <c r="D6" s="13" t="s">
        <v>117</v>
      </c>
      <c r="E6" s="13" t="s">
        <v>55</v>
      </c>
      <c r="F6" s="13" t="s">
        <v>38</v>
      </c>
      <c r="G6" s="13" t="s">
        <v>118</v>
      </c>
      <c r="H6" s="13" t="s">
        <v>119</v>
      </c>
      <c r="I6" s="13" t="s">
        <v>120</v>
      </c>
      <c r="J6" s="13" t="s">
        <v>121</v>
      </c>
      <c r="K6" s="13" t="s">
        <v>122</v>
      </c>
      <c r="L6" s="13" t="s">
        <v>123</v>
      </c>
      <c r="M6" s="13" t="s">
        <v>32</v>
      </c>
      <c r="N6" s="13" t="s">
        <v>124</v>
      </c>
      <c r="O6" s="13" t="s">
        <v>125</v>
      </c>
      <c r="P6" s="13" t="s">
        <v>126</v>
      </c>
      <c r="Q6" s="13" t="s">
        <v>127</v>
      </c>
      <c r="R6" s="13" t="s">
        <v>128</v>
      </c>
      <c r="S6" s="13" t="s">
        <v>129</v>
      </c>
      <c r="T6" s="13" t="s">
        <v>130</v>
      </c>
      <c r="U6" s="13" t="s">
        <v>131</v>
      </c>
      <c r="V6" s="13" t="s">
        <v>132</v>
      </c>
      <c r="W6" s="13" t="s">
        <v>133</v>
      </c>
      <c r="X6" s="13" t="s">
        <v>134</v>
      </c>
      <c r="Y6" s="13" t="s">
        <v>135</v>
      </c>
      <c r="Z6" s="13" t="s">
        <v>136</v>
      </c>
      <c r="AA6" s="13" t="s">
        <v>137</v>
      </c>
    </row>
    <row r="7" spans="2:27" ht="118.9">
      <c r="B7" s="14" t="s">
        <v>138</v>
      </c>
      <c r="C7" s="14" t="s">
        <v>139</v>
      </c>
      <c r="D7" s="14" t="s">
        <v>59</v>
      </c>
      <c r="E7" s="14" t="s">
        <v>60</v>
      </c>
      <c r="F7" s="14" t="s">
        <v>140</v>
      </c>
      <c r="G7" s="14" t="s">
        <v>86</v>
      </c>
      <c r="H7" s="14" t="s">
        <v>141</v>
      </c>
      <c r="I7" s="14" t="s">
        <v>142</v>
      </c>
      <c r="J7" s="14" t="s">
        <v>143</v>
      </c>
      <c r="K7" s="14" t="s">
        <v>144</v>
      </c>
      <c r="L7" s="14" t="s">
        <v>145</v>
      </c>
      <c r="M7" s="14" t="s">
        <v>146</v>
      </c>
      <c r="N7" s="14" t="s">
        <v>147</v>
      </c>
      <c r="O7" s="14" t="s">
        <v>148</v>
      </c>
      <c r="P7" s="14" t="s">
        <v>149</v>
      </c>
      <c r="Q7" s="14" t="s">
        <v>150</v>
      </c>
      <c r="R7" s="14" t="s">
        <v>151</v>
      </c>
      <c r="S7" s="14" t="s">
        <v>152</v>
      </c>
      <c r="T7" s="15" t="s">
        <v>153</v>
      </c>
      <c r="U7" s="14" t="s">
        <v>154</v>
      </c>
      <c r="V7" s="14" t="s">
        <v>155</v>
      </c>
      <c r="W7" s="14" t="s">
        <v>156</v>
      </c>
      <c r="X7" s="14" t="s">
        <v>157</v>
      </c>
      <c r="Y7" s="14" t="s">
        <v>158</v>
      </c>
      <c r="Z7" s="14" t="s">
        <v>159</v>
      </c>
    </row>
    <row r="8" spans="2:27" ht="118.9">
      <c r="B8" s="16" t="s">
        <v>160</v>
      </c>
      <c r="C8" s="16" t="s">
        <v>161</v>
      </c>
      <c r="D8" s="16" t="s">
        <v>85</v>
      </c>
      <c r="E8" s="16" t="s">
        <v>86</v>
      </c>
      <c r="F8" s="16" t="s">
        <v>162</v>
      </c>
      <c r="G8" s="16" t="s">
        <v>86</v>
      </c>
      <c r="H8" s="16" t="s">
        <v>141</v>
      </c>
      <c r="I8" s="16" t="s">
        <v>142</v>
      </c>
      <c r="J8" s="16" t="s">
        <v>163</v>
      </c>
      <c r="K8" s="16" t="s">
        <v>144</v>
      </c>
      <c r="L8" s="16" t="s">
        <v>145</v>
      </c>
      <c r="M8" s="16" t="s">
        <v>164</v>
      </c>
      <c r="N8" s="16" t="s">
        <v>165</v>
      </c>
      <c r="O8" s="16" t="s">
        <v>166</v>
      </c>
      <c r="P8" s="16" t="s">
        <v>167</v>
      </c>
      <c r="Q8" s="16" t="s">
        <v>150</v>
      </c>
      <c r="R8" s="16" t="s">
        <v>168</v>
      </c>
      <c r="S8" s="16" t="s">
        <v>152</v>
      </c>
      <c r="T8" s="15" t="s">
        <v>169</v>
      </c>
      <c r="U8" s="16" t="s">
        <v>170</v>
      </c>
      <c r="V8" s="16" t="s">
        <v>171</v>
      </c>
      <c r="W8" s="16" t="s">
        <v>156</v>
      </c>
      <c r="X8" s="16" t="s">
        <v>157</v>
      </c>
      <c r="Y8" s="16" t="s">
        <v>158</v>
      </c>
      <c r="Z8" s="16" t="s">
        <v>172</v>
      </c>
    </row>
    <row r="9" spans="2:27" ht="158.44999999999999">
      <c r="B9" s="14" t="s">
        <v>173</v>
      </c>
      <c r="C9" s="14" t="s">
        <v>174</v>
      </c>
      <c r="D9" s="14" t="s">
        <v>59</v>
      </c>
      <c r="E9" s="14" t="s">
        <v>60</v>
      </c>
      <c r="F9" s="14" t="s">
        <v>175</v>
      </c>
      <c r="G9" s="14" t="s">
        <v>175</v>
      </c>
      <c r="H9" s="14" t="s">
        <v>141</v>
      </c>
      <c r="I9" s="14" t="s">
        <v>142</v>
      </c>
      <c r="J9" s="14" t="s">
        <v>176</v>
      </c>
      <c r="K9" s="14" t="s">
        <v>144</v>
      </c>
      <c r="L9" s="14" t="s">
        <v>145</v>
      </c>
      <c r="M9" s="14" t="s">
        <v>177</v>
      </c>
      <c r="N9" s="14" t="s">
        <v>178</v>
      </c>
      <c r="O9" s="14" t="s">
        <v>179</v>
      </c>
      <c r="P9" s="14" t="s">
        <v>180</v>
      </c>
      <c r="Q9" s="14" t="s">
        <v>150</v>
      </c>
      <c r="R9" s="14" t="s">
        <v>181</v>
      </c>
      <c r="S9" s="14" t="s">
        <v>152</v>
      </c>
      <c r="T9" s="15" t="s">
        <v>182</v>
      </c>
      <c r="U9" s="14" t="s">
        <v>183</v>
      </c>
      <c r="V9" s="14" t="s">
        <v>184</v>
      </c>
      <c r="W9" s="14" t="s">
        <v>156</v>
      </c>
      <c r="X9" s="14" t="s">
        <v>185</v>
      </c>
      <c r="Y9" s="14" t="s">
        <v>158</v>
      </c>
      <c r="Z9" s="14" t="s">
        <v>186</v>
      </c>
    </row>
    <row r="10" spans="2:27" ht="132">
      <c r="B10" s="16" t="s">
        <v>187</v>
      </c>
      <c r="C10" s="16" t="s">
        <v>188</v>
      </c>
      <c r="D10" s="16" t="s">
        <v>59</v>
      </c>
      <c r="E10" s="16" t="s">
        <v>64</v>
      </c>
      <c r="F10" s="16" t="s">
        <v>189</v>
      </c>
      <c r="G10" s="16" t="s">
        <v>189</v>
      </c>
      <c r="H10" s="16" t="s">
        <v>141</v>
      </c>
      <c r="I10" s="16" t="s">
        <v>190</v>
      </c>
      <c r="J10" s="16" t="s">
        <v>191</v>
      </c>
      <c r="K10" s="16" t="s">
        <v>192</v>
      </c>
      <c r="L10" s="16" t="s">
        <v>193</v>
      </c>
      <c r="M10" s="16" t="s">
        <v>194</v>
      </c>
      <c r="N10" s="16" t="s">
        <v>195</v>
      </c>
      <c r="O10" s="16" t="s">
        <v>196</v>
      </c>
      <c r="P10" s="16" t="s">
        <v>197</v>
      </c>
      <c r="Q10" s="16" t="s">
        <v>198</v>
      </c>
      <c r="R10" s="16" t="s">
        <v>199</v>
      </c>
      <c r="S10" s="16" t="s">
        <v>200</v>
      </c>
      <c r="T10" s="15" t="s">
        <v>201</v>
      </c>
      <c r="U10" s="16" t="s">
        <v>202</v>
      </c>
      <c r="V10" s="16" t="s">
        <v>203</v>
      </c>
      <c r="W10" s="16" t="s">
        <v>204</v>
      </c>
      <c r="X10" s="16" t="s">
        <v>157</v>
      </c>
      <c r="Y10" s="16" t="s">
        <v>158</v>
      </c>
      <c r="Z10" s="16" t="s">
        <v>205</v>
      </c>
    </row>
    <row r="11" spans="2:27" ht="132">
      <c r="B11" s="14" t="s">
        <v>206</v>
      </c>
      <c r="C11" s="14" t="s">
        <v>207</v>
      </c>
      <c r="D11" s="14" t="s">
        <v>85</v>
      </c>
      <c r="E11" s="14" t="s">
        <v>94</v>
      </c>
      <c r="F11" s="14" t="s">
        <v>86</v>
      </c>
      <c r="G11" s="14" t="s">
        <v>86</v>
      </c>
      <c r="H11" s="14" t="s">
        <v>141</v>
      </c>
      <c r="I11" s="14" t="s">
        <v>142</v>
      </c>
      <c r="J11" s="14" t="s">
        <v>208</v>
      </c>
      <c r="K11" s="14" t="s">
        <v>144</v>
      </c>
      <c r="L11" s="14" t="s">
        <v>145</v>
      </c>
      <c r="M11" s="14" t="s">
        <v>209</v>
      </c>
      <c r="N11" s="14" t="s">
        <v>210</v>
      </c>
      <c r="O11" s="14" t="s">
        <v>211</v>
      </c>
      <c r="P11" s="14" t="s">
        <v>212</v>
      </c>
      <c r="Q11" s="14" t="s">
        <v>150</v>
      </c>
      <c r="R11" s="14" t="s">
        <v>213</v>
      </c>
      <c r="S11" s="14" t="s">
        <v>152</v>
      </c>
      <c r="T11" s="15" t="s">
        <v>214</v>
      </c>
      <c r="U11" s="14" t="s">
        <v>215</v>
      </c>
      <c r="V11" s="14" t="s">
        <v>216</v>
      </c>
      <c r="W11" s="14" t="s">
        <v>156</v>
      </c>
      <c r="X11" s="14" t="s">
        <v>217</v>
      </c>
      <c r="Y11" s="14" t="s">
        <v>158</v>
      </c>
      <c r="Z11" s="14" t="s">
        <v>218</v>
      </c>
    </row>
    <row r="12" spans="2:27" ht="118.9">
      <c r="B12" s="16" t="s">
        <v>219</v>
      </c>
      <c r="C12" s="16" t="s">
        <v>220</v>
      </c>
      <c r="D12" s="16" t="s">
        <v>72</v>
      </c>
      <c r="E12" s="16" t="s">
        <v>77</v>
      </c>
      <c r="F12" s="16" t="s">
        <v>221</v>
      </c>
      <c r="G12" s="16" t="s">
        <v>86</v>
      </c>
      <c r="H12" s="16" t="s">
        <v>141</v>
      </c>
      <c r="I12" s="16" t="s">
        <v>222</v>
      </c>
      <c r="J12" s="16" t="s">
        <v>223</v>
      </c>
      <c r="K12" s="16" t="s">
        <v>77</v>
      </c>
      <c r="L12" s="16" t="s">
        <v>224</v>
      </c>
      <c r="M12" s="16" t="s">
        <v>225</v>
      </c>
      <c r="N12" s="16" t="s">
        <v>226</v>
      </c>
      <c r="O12" s="16" t="s">
        <v>227</v>
      </c>
      <c r="P12" s="16" t="s">
        <v>228</v>
      </c>
      <c r="Q12" s="16" t="s">
        <v>150</v>
      </c>
      <c r="R12" s="16" t="s">
        <v>229</v>
      </c>
      <c r="S12" s="16" t="s">
        <v>200</v>
      </c>
      <c r="T12" s="15" t="s">
        <v>230</v>
      </c>
      <c r="U12" s="16" t="s">
        <v>231</v>
      </c>
      <c r="V12" s="16" t="s">
        <v>232</v>
      </c>
      <c r="W12" s="16" t="s">
        <v>233</v>
      </c>
      <c r="X12" s="16" t="s">
        <v>157</v>
      </c>
      <c r="Y12" s="16" t="s">
        <v>158</v>
      </c>
      <c r="Z12" s="16" t="s">
        <v>234</v>
      </c>
    </row>
    <row r="13" spans="2:27" ht="171.6">
      <c r="B13" s="14" t="s">
        <v>235</v>
      </c>
      <c r="C13" s="14" t="s">
        <v>236</v>
      </c>
      <c r="D13" s="14" t="s">
        <v>72</v>
      </c>
      <c r="E13" s="14" t="s">
        <v>73</v>
      </c>
      <c r="F13" s="14" t="s">
        <v>237</v>
      </c>
      <c r="G13" s="14" t="s">
        <v>237</v>
      </c>
      <c r="H13" s="14" t="s">
        <v>141</v>
      </c>
      <c r="I13" s="14" t="s">
        <v>238</v>
      </c>
      <c r="J13" s="14" t="s">
        <v>239</v>
      </c>
      <c r="K13" s="14" t="s">
        <v>73</v>
      </c>
      <c r="L13" s="14" t="s">
        <v>240</v>
      </c>
      <c r="M13" s="14" t="s">
        <v>241</v>
      </c>
      <c r="N13" s="14" t="s">
        <v>242</v>
      </c>
      <c r="O13" s="14" t="s">
        <v>243</v>
      </c>
      <c r="P13" s="14" t="s">
        <v>244</v>
      </c>
      <c r="Q13" s="14" t="s">
        <v>198</v>
      </c>
      <c r="R13" s="14" t="s">
        <v>245</v>
      </c>
      <c r="S13" s="14" t="s">
        <v>200</v>
      </c>
      <c r="T13" s="15" t="s">
        <v>246</v>
      </c>
      <c r="U13" s="14" t="s">
        <v>247</v>
      </c>
      <c r="V13" s="14" t="s">
        <v>248</v>
      </c>
      <c r="W13" s="14" t="s">
        <v>249</v>
      </c>
      <c r="X13" s="14" t="s">
        <v>157</v>
      </c>
      <c r="Y13" s="14" t="s">
        <v>158</v>
      </c>
      <c r="Z13" s="14"/>
    </row>
    <row r="14" spans="2:27">
      <c r="B14" s="17" t="str">
        <f t="shared" ref="B14:B33" si="0">IF(C14&lt;&gt;"","CDE-"&amp;TEXT(ROW()-6,"000"),"")</f>
        <v/>
      </c>
      <c r="C14" s="18"/>
      <c r="D14" s="18"/>
      <c r="E14" s="18"/>
      <c r="F14" s="18"/>
      <c r="G14" s="18"/>
      <c r="H14" s="18"/>
      <c r="I14" s="18"/>
      <c r="J14" s="18"/>
      <c r="K14" s="18"/>
      <c r="L14" s="18"/>
      <c r="M14" s="18"/>
      <c r="N14" s="18"/>
      <c r="O14" s="18"/>
      <c r="P14" s="18"/>
      <c r="Q14" s="18"/>
      <c r="R14" s="18"/>
      <c r="S14" s="18"/>
      <c r="T14" s="18"/>
      <c r="U14" s="18"/>
      <c r="V14" s="18"/>
      <c r="W14" s="18"/>
      <c r="X14" s="18"/>
      <c r="Y14" s="18"/>
      <c r="Z14" s="18"/>
      <c r="AA14" s="18"/>
    </row>
    <row r="15" spans="2:27">
      <c r="B15" s="19" t="str">
        <f t="shared" si="0"/>
        <v/>
      </c>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2:27">
      <c r="B16" s="17" t="str">
        <f t="shared" si="0"/>
        <v/>
      </c>
      <c r="C16" s="18"/>
      <c r="D16" s="18"/>
      <c r="E16" s="18"/>
      <c r="F16" s="18"/>
      <c r="G16" s="18"/>
      <c r="H16" s="18"/>
      <c r="I16" s="18"/>
      <c r="J16" s="18"/>
      <c r="K16" s="18"/>
      <c r="L16" s="18"/>
      <c r="M16" s="18"/>
      <c r="N16" s="18"/>
      <c r="O16" s="18"/>
      <c r="P16" s="18"/>
      <c r="Q16" s="18"/>
      <c r="R16" s="18"/>
      <c r="S16" s="18"/>
      <c r="T16" s="18"/>
      <c r="U16" s="18"/>
      <c r="V16" s="18"/>
      <c r="W16" s="18"/>
      <c r="X16" s="18"/>
      <c r="Y16" s="18"/>
      <c r="Z16" s="18"/>
      <c r="AA16" s="18"/>
    </row>
    <row r="17" spans="2:27">
      <c r="B17" s="19" t="str">
        <f t="shared" si="0"/>
        <v/>
      </c>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spans="2:27">
      <c r="B18" s="17" t="str">
        <f t="shared" si="0"/>
        <v/>
      </c>
      <c r="C18" s="18"/>
      <c r="D18" s="18"/>
      <c r="E18" s="18"/>
      <c r="F18" s="18"/>
      <c r="G18" s="18"/>
      <c r="H18" s="18"/>
      <c r="I18" s="18"/>
      <c r="J18" s="18"/>
      <c r="K18" s="18"/>
      <c r="L18" s="18"/>
      <c r="M18" s="18"/>
      <c r="N18" s="18"/>
      <c r="O18" s="18"/>
      <c r="P18" s="18"/>
      <c r="Q18" s="18"/>
      <c r="R18" s="18"/>
      <c r="S18" s="18"/>
      <c r="T18" s="18"/>
      <c r="U18" s="18"/>
      <c r="V18" s="18"/>
      <c r="W18" s="18"/>
      <c r="X18" s="18"/>
      <c r="Y18" s="18"/>
      <c r="Z18" s="18"/>
      <c r="AA18" s="18"/>
    </row>
    <row r="19" spans="2:27">
      <c r="B19" s="19" t="str">
        <f t="shared" si="0"/>
        <v/>
      </c>
      <c r="C19" s="20"/>
      <c r="D19" s="20"/>
      <c r="E19" s="20"/>
      <c r="F19" s="20"/>
      <c r="G19" s="20"/>
      <c r="H19" s="20"/>
      <c r="I19" s="20"/>
      <c r="J19" s="20"/>
      <c r="K19" s="20"/>
      <c r="L19" s="20"/>
      <c r="M19" s="20"/>
      <c r="N19" s="20"/>
      <c r="O19" s="20"/>
      <c r="P19" s="20"/>
      <c r="Q19" s="20"/>
      <c r="R19" s="20"/>
      <c r="S19" s="20"/>
      <c r="T19" s="20"/>
      <c r="U19" s="20"/>
      <c r="V19" s="20"/>
      <c r="W19" s="20"/>
      <c r="X19" s="20"/>
      <c r="Y19" s="20"/>
      <c r="Z19" s="20"/>
      <c r="AA19" s="20"/>
    </row>
    <row r="20" spans="2:27">
      <c r="B20" s="17" t="str">
        <f t="shared" si="0"/>
        <v/>
      </c>
      <c r="C20" s="18"/>
      <c r="D20" s="18"/>
      <c r="E20" s="18"/>
      <c r="F20" s="18"/>
      <c r="G20" s="18"/>
      <c r="H20" s="18"/>
      <c r="I20" s="18"/>
      <c r="J20" s="18"/>
      <c r="K20" s="18"/>
      <c r="L20" s="18"/>
      <c r="M20" s="18"/>
      <c r="N20" s="18"/>
      <c r="O20" s="18"/>
      <c r="P20" s="18"/>
      <c r="Q20" s="18"/>
      <c r="R20" s="18"/>
      <c r="S20" s="18"/>
      <c r="T20" s="18"/>
      <c r="U20" s="18"/>
      <c r="V20" s="18"/>
      <c r="W20" s="18"/>
      <c r="X20" s="18"/>
      <c r="Y20" s="18"/>
      <c r="Z20" s="18"/>
      <c r="AA20" s="18"/>
    </row>
    <row r="21" spans="2:27">
      <c r="B21" s="19" t="str">
        <f t="shared" si="0"/>
        <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row>
    <row r="22" spans="2:27">
      <c r="B22" s="17" t="str">
        <f t="shared" si="0"/>
        <v/>
      </c>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row r="23" spans="2:27">
      <c r="B23" s="19" t="str">
        <f t="shared" si="0"/>
        <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row>
    <row r="24" spans="2:27">
      <c r="B24" s="17" t="str">
        <f t="shared" si="0"/>
        <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spans="2:27">
      <c r="B25" s="19" t="str">
        <f t="shared" si="0"/>
        <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row>
    <row r="26" spans="2:27">
      <c r="B26" s="17" t="str">
        <f t="shared" si="0"/>
        <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spans="2:27">
      <c r="B27" s="19" t="str">
        <f t="shared" si="0"/>
        <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row>
    <row r="28" spans="2:27">
      <c r="B28" s="17" t="str">
        <f t="shared" si="0"/>
        <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spans="2:27">
      <c r="B29" s="19" t="str">
        <f t="shared" si="0"/>
        <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row>
    <row r="30" spans="2:27">
      <c r="B30" s="17" t="str">
        <f t="shared" si="0"/>
        <v/>
      </c>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2:27">
      <c r="B31" s="19" t="str">
        <f t="shared" si="0"/>
        <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row>
    <row r="32" spans="2:27">
      <c r="B32" s="17" t="str">
        <f t="shared" si="0"/>
        <v/>
      </c>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spans="2:27">
      <c r="B33" s="19" t="str">
        <f t="shared" si="0"/>
        <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row>
  </sheetData>
  <mergeCells count="10">
    <mergeCell ref="B2:AA2"/>
    <mergeCell ref="B3:AA3"/>
    <mergeCell ref="B5:D5"/>
    <mergeCell ref="E5:I5"/>
    <mergeCell ref="J5:L5"/>
    <mergeCell ref="M5:P5"/>
    <mergeCell ref="Q5:S5"/>
    <mergeCell ref="T5:U5"/>
    <mergeCell ref="V5:W5"/>
    <mergeCell ref="X5:AA5"/>
  </mergeCells>
  <dataValidations count="7">
    <dataValidation type="list" allowBlank="1" sqref="E7:E200" xr:uid="{00000000-0002-0000-0200-000000000000}">
      <formula1>"🎓 CORE,⚙️ ENABLERS,🏛️ FOUNDATIONS"</formula1>
      <formula2>0</formula2>
    </dataValidation>
    <dataValidation type="list" allowBlank="1" sqref="F7:F200" xr:uid="{00000000-0002-0000-0200-000001000000}">
      <formula1>"Student,Learning &amp; Teaching,Research,Finance,Human Resources,Estates &amp; Facilities,Person,Organisation &amp; Groups,Compliance &amp; Regulatory,Digital Identity &amp; Access"</formula1>
      <formula2>0</formula2>
    </dataValidation>
    <dataValidation type="list" allowBlank="1" sqref="I7:I200" xr:uid="{00000000-0002-0000-0200-000002000000}">
      <formula1>"Critical,Sensitive,Operational,Public"</formula1>
      <formula2>0</formula2>
    </dataValidation>
    <dataValidation type="list" allowBlank="1" sqref="R7:R200" xr:uid="{00000000-0002-0000-0200-000003000000}">
      <formula1>"Yes – Privacy Act 1988,Yes – FERPA,Yes – GDPR,No"</formula1>
      <formula2>0</formula2>
    </dataValidation>
    <dataValidation type="list" allowBlank="1" sqref="Y7:Y200" xr:uid="{00000000-0002-0000-0200-000004000000}">
      <formula1>"Annual,Bi-Annual,Quarterly,Event-Driven"</formula1>
      <formula2>0</formula2>
    </dataValidation>
    <dataValidation type="list" allowBlank="1" sqref="Z7:Z200" xr:uid="{00000000-0002-0000-0200-000005000000}">
      <formula1>"Draft,Active,Under Review,Deprecated,Retired"</formula1>
      <formula2>0</formula2>
    </dataValidation>
    <dataValidation type="list" allowBlank="1" sqref="T7:T200" xr:uid="{00000000-0002-0000-0200-000006000000}">
      <formula1>"1,2,3,4,5,6,7,8,9,10"</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11"/>
  <sheetViews>
    <sheetView showGridLines="0" zoomScaleNormal="100" workbookViewId="0">
      <pane xSplit="2" ySplit="6" topLeftCell="C7" activePane="bottomRight" state="frozen"/>
      <selection pane="bottomRight"/>
      <selection pane="bottomLeft" activeCell="A7" sqref="A7"/>
      <selection pane="topRight" activeCell="C1" sqref="C1"/>
    </sheetView>
  </sheetViews>
  <sheetFormatPr defaultColWidth="8.7109375" defaultRowHeight="14.45"/>
  <cols>
    <col min="1" max="1" width="3" customWidth="1"/>
    <col min="2" max="2" width="12" customWidth="1"/>
    <col min="3" max="3" width="32" customWidth="1"/>
    <col min="4" max="4" width="22" customWidth="1"/>
    <col min="5" max="5" width="24" customWidth="1"/>
    <col min="6" max="6" width="12" customWidth="1"/>
    <col min="7" max="7" width="32" customWidth="1"/>
    <col min="8" max="8" width="22" customWidth="1"/>
    <col min="9" max="10" width="18" customWidth="1"/>
    <col min="11" max="11" width="24" customWidth="1"/>
    <col min="12" max="14" width="18" customWidth="1"/>
    <col min="15" max="15" width="22" customWidth="1"/>
    <col min="16" max="16" width="18" customWidth="1"/>
    <col min="17" max="17" width="38" customWidth="1"/>
  </cols>
  <sheetData>
    <row r="2" spans="2:17" ht="43.5" customHeight="1">
      <c r="B2" s="26" t="s">
        <v>250</v>
      </c>
      <c r="C2" s="26"/>
      <c r="D2" s="26"/>
      <c r="E2" s="26"/>
      <c r="F2" s="26"/>
      <c r="G2" s="26"/>
      <c r="H2" s="26"/>
      <c r="I2" s="26"/>
      <c r="J2" s="26"/>
      <c r="K2" s="26"/>
      <c r="L2" s="26"/>
      <c r="M2" s="26"/>
      <c r="N2" s="26"/>
      <c r="O2" s="26"/>
      <c r="P2" s="26"/>
      <c r="Q2" s="26"/>
    </row>
    <row r="3" spans="2:17" ht="21.75" customHeight="1">
      <c r="B3" s="27" t="s">
        <v>251</v>
      </c>
      <c r="C3" s="27"/>
      <c r="D3" s="27"/>
      <c r="E3" s="27"/>
      <c r="F3" s="27"/>
      <c r="G3" s="27"/>
      <c r="H3" s="27"/>
      <c r="I3" s="27"/>
      <c r="J3" s="27"/>
      <c r="K3" s="27"/>
      <c r="L3" s="27"/>
      <c r="M3" s="27"/>
      <c r="N3" s="27"/>
      <c r="O3" s="27"/>
      <c r="P3" s="27"/>
      <c r="Q3" s="27"/>
    </row>
    <row r="5" spans="2:17" ht="36" customHeight="1">
      <c r="B5" s="21" t="s">
        <v>252</v>
      </c>
      <c r="C5" s="21" t="s">
        <v>253</v>
      </c>
      <c r="D5" s="21" t="s">
        <v>254</v>
      </c>
      <c r="E5" s="21" t="s">
        <v>255</v>
      </c>
      <c r="F5" s="21" t="s">
        <v>115</v>
      </c>
      <c r="G5" s="21" t="s">
        <v>116</v>
      </c>
      <c r="H5" s="21" t="s">
        <v>38</v>
      </c>
      <c r="I5" s="21" t="s">
        <v>256</v>
      </c>
      <c r="J5" s="21" t="s">
        <v>257</v>
      </c>
      <c r="K5" s="21" t="s">
        <v>258</v>
      </c>
      <c r="L5" s="21" t="s">
        <v>259</v>
      </c>
      <c r="M5" s="21" t="s">
        <v>125</v>
      </c>
      <c r="N5" s="21" t="s">
        <v>260</v>
      </c>
      <c r="O5" s="21" t="s">
        <v>261</v>
      </c>
      <c r="P5" s="21" t="s">
        <v>262</v>
      </c>
      <c r="Q5" s="21" t="s">
        <v>263</v>
      </c>
    </row>
    <row r="6" spans="2:17" ht="45.75" customHeight="1">
      <c r="B6" s="14" t="s">
        <v>264</v>
      </c>
      <c r="C6" s="14" t="s">
        <v>145</v>
      </c>
      <c r="D6" s="14" t="s">
        <v>265</v>
      </c>
      <c r="E6" s="14" t="s">
        <v>266</v>
      </c>
      <c r="F6" s="14" t="s">
        <v>267</v>
      </c>
      <c r="G6" s="14" t="s">
        <v>138</v>
      </c>
      <c r="H6" s="14" t="s">
        <v>60</v>
      </c>
      <c r="I6" s="14" t="s">
        <v>268</v>
      </c>
      <c r="J6" s="14" t="s">
        <v>269</v>
      </c>
      <c r="K6" s="14" t="s">
        <v>270</v>
      </c>
      <c r="L6" s="14" t="s">
        <v>271</v>
      </c>
      <c r="M6" s="14" t="s">
        <v>147</v>
      </c>
      <c r="N6" s="14" t="s">
        <v>272</v>
      </c>
      <c r="O6" s="14" t="s">
        <v>273</v>
      </c>
      <c r="P6" s="14" t="s">
        <v>274</v>
      </c>
      <c r="Q6" s="14" t="s">
        <v>275</v>
      </c>
    </row>
    <row r="7" spans="2:17" ht="45.75" customHeight="1">
      <c r="B7" s="16" t="s">
        <v>276</v>
      </c>
      <c r="C7" s="16" t="s">
        <v>277</v>
      </c>
      <c r="D7" s="16" t="s">
        <v>278</v>
      </c>
      <c r="E7" s="16" t="s">
        <v>279</v>
      </c>
      <c r="F7" s="16" t="s">
        <v>267</v>
      </c>
      <c r="G7" s="16" t="s">
        <v>138</v>
      </c>
      <c r="H7" s="16" t="s">
        <v>94</v>
      </c>
      <c r="I7" s="16" t="s">
        <v>280</v>
      </c>
      <c r="J7" s="16" t="s">
        <v>269</v>
      </c>
      <c r="K7" s="16" t="s">
        <v>281</v>
      </c>
      <c r="L7" s="16" t="s">
        <v>282</v>
      </c>
      <c r="M7" s="16" t="s">
        <v>283</v>
      </c>
      <c r="N7" s="16" t="s">
        <v>284</v>
      </c>
      <c r="O7" s="16" t="s">
        <v>285</v>
      </c>
      <c r="P7" s="16" t="s">
        <v>274</v>
      </c>
      <c r="Q7" s="16" t="s">
        <v>286</v>
      </c>
    </row>
    <row r="8" spans="2:17" ht="45.75" customHeight="1">
      <c r="B8" s="14" t="s">
        <v>287</v>
      </c>
      <c r="C8" s="14" t="s">
        <v>288</v>
      </c>
      <c r="D8" s="14" t="s">
        <v>289</v>
      </c>
      <c r="E8" s="14" t="s">
        <v>290</v>
      </c>
      <c r="F8" s="14" t="s">
        <v>267</v>
      </c>
      <c r="G8" s="14" t="s">
        <v>138</v>
      </c>
      <c r="H8" s="14" t="s">
        <v>64</v>
      </c>
      <c r="I8" s="14" t="s">
        <v>280</v>
      </c>
      <c r="J8" s="14" t="s">
        <v>291</v>
      </c>
      <c r="K8" s="14" t="s">
        <v>270</v>
      </c>
      <c r="L8" s="14" t="s">
        <v>292</v>
      </c>
      <c r="M8" s="14" t="s">
        <v>293</v>
      </c>
      <c r="N8" s="14" t="s">
        <v>294</v>
      </c>
      <c r="O8" s="14" t="s">
        <v>273</v>
      </c>
      <c r="P8" s="14" t="s">
        <v>295</v>
      </c>
      <c r="Q8" s="14" t="s">
        <v>296</v>
      </c>
    </row>
    <row r="9" spans="2:17" ht="45.75" customHeight="1">
      <c r="B9" s="16" t="s">
        <v>297</v>
      </c>
      <c r="C9" s="16" t="s">
        <v>298</v>
      </c>
      <c r="D9" s="16" t="s">
        <v>299</v>
      </c>
      <c r="E9" s="16" t="s">
        <v>300</v>
      </c>
      <c r="F9" s="16" t="s">
        <v>267</v>
      </c>
      <c r="G9" s="16" t="s">
        <v>138</v>
      </c>
      <c r="H9" s="16" t="s">
        <v>73</v>
      </c>
      <c r="I9" s="16" t="s">
        <v>280</v>
      </c>
      <c r="J9" s="16" t="s">
        <v>291</v>
      </c>
      <c r="K9" s="16" t="s">
        <v>301</v>
      </c>
      <c r="L9" s="16" t="s">
        <v>302</v>
      </c>
      <c r="M9" s="16" t="s">
        <v>242</v>
      </c>
      <c r="N9" s="16" t="s">
        <v>303</v>
      </c>
      <c r="O9" s="16" t="s">
        <v>285</v>
      </c>
      <c r="P9" s="16" t="s">
        <v>295</v>
      </c>
      <c r="Q9" s="16" t="s">
        <v>304</v>
      </c>
    </row>
    <row r="10" spans="2:17" ht="45.75" customHeight="1">
      <c r="B10" s="14" t="s">
        <v>305</v>
      </c>
      <c r="C10" s="14" t="s">
        <v>145</v>
      </c>
      <c r="D10" s="14" t="s">
        <v>265</v>
      </c>
      <c r="E10" s="14" t="s">
        <v>266</v>
      </c>
      <c r="F10" s="14" t="s">
        <v>306</v>
      </c>
      <c r="G10" s="14" t="s">
        <v>206</v>
      </c>
      <c r="H10" s="14" t="s">
        <v>94</v>
      </c>
      <c r="I10" s="14" t="s">
        <v>280</v>
      </c>
      <c r="J10" s="14" t="s">
        <v>307</v>
      </c>
      <c r="K10" s="14" t="s">
        <v>270</v>
      </c>
      <c r="L10" s="14" t="s">
        <v>308</v>
      </c>
      <c r="M10" s="14" t="s">
        <v>147</v>
      </c>
      <c r="N10" s="14" t="s">
        <v>272</v>
      </c>
      <c r="O10" s="14" t="s">
        <v>309</v>
      </c>
      <c r="P10" s="14" t="s">
        <v>274</v>
      </c>
      <c r="Q10" s="14" t="s">
        <v>310</v>
      </c>
    </row>
    <row r="11" spans="2:17" ht="45.75" customHeight="1">
      <c r="B11" s="16" t="s">
        <v>311</v>
      </c>
      <c r="C11" s="16" t="s">
        <v>312</v>
      </c>
      <c r="D11" s="16" t="s">
        <v>312</v>
      </c>
      <c r="E11" s="16" t="s">
        <v>313</v>
      </c>
      <c r="F11" s="16" t="s">
        <v>314</v>
      </c>
      <c r="G11" s="16" t="s">
        <v>219</v>
      </c>
      <c r="H11" s="16" t="s">
        <v>77</v>
      </c>
      <c r="I11" s="16" t="s">
        <v>268</v>
      </c>
      <c r="J11" s="16" t="s">
        <v>269</v>
      </c>
      <c r="K11" s="16" t="s">
        <v>270</v>
      </c>
      <c r="L11" s="16" t="s">
        <v>315</v>
      </c>
      <c r="M11" s="16" t="s">
        <v>226</v>
      </c>
      <c r="N11" s="16" t="s">
        <v>316</v>
      </c>
      <c r="O11" s="16" t="s">
        <v>273</v>
      </c>
      <c r="P11" s="16" t="s">
        <v>274</v>
      </c>
      <c r="Q11" s="16" t="s">
        <v>317</v>
      </c>
    </row>
  </sheetData>
  <mergeCells count="2">
    <mergeCell ref="B2:Q2"/>
    <mergeCell ref="B3:Q3"/>
  </mergeCells>
  <dataValidations count="6">
    <dataValidation type="list" allowBlank="1" sqref="D6:D200" xr:uid="{00000000-0002-0000-0300-000000000000}">
      <formula1>"SIS,LMS,ERP/Finance,HRIS,CRM,Library,IAM/IdP,Data Warehouse,Analytics,Middleware/Integration,Other"</formula1>
      <formula2>0</formula2>
    </dataValidation>
    <dataValidation type="list" allowBlank="1" sqref="I6:I200" xr:uid="{00000000-0002-0000-0300-000001000000}">
      <formula1>"System of Record,Primary Consumer,Secondary Consumer,Downstream Reporting,Archive"</formula1>
      <formula2>0</formula2>
    </dataValidation>
    <dataValidation type="list" allowBlank="1" sqref="J6:J200" xr:uid="{00000000-0002-0000-0300-000002000000}">
      <formula1>"Inbound,Outbound,Bi-directional,Read-only"</formula1>
      <formula2>0</formula2>
    </dataValidation>
    <dataValidation type="list" allowBlank="1" sqref="K6:K200" xr:uid="{00000000-0002-0000-0300-000003000000}">
      <formula1>"API (REST),API (SOAP),Database Link,File Transfer (SFTP),ETL/ELT,Manual Entry,Message Queue,Other"</formula1>
      <formula2>0</formula2>
    </dataValidation>
    <dataValidation type="list" allowBlank="1" sqref="O6:O200" xr:uid="{00000000-0002-0000-0300-000004000000}">
      <formula1>"High,Medium,Low,Unknown"</formula1>
      <formula2>0</formula2>
    </dataValidation>
    <dataValidation type="list" allowBlank="1" sqref="P6:P200" xr:uid="{00000000-0002-0000-0300-000005000000}">
      <formula1>"Mission Critical,Business Critical,Important,Low"</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26"/>
  <sheetViews>
    <sheetView showGridLines="0" tabSelected="1" zoomScaleNormal="100" workbookViewId="0"/>
  </sheetViews>
  <sheetFormatPr defaultColWidth="8.7109375" defaultRowHeight="14.45"/>
  <cols>
    <col min="1" max="1" width="3" customWidth="1"/>
    <col min="2" max="2" width="32" customWidth="1"/>
    <col min="3" max="3" width="52" customWidth="1"/>
    <col min="4" max="6" width="16" customWidth="1"/>
  </cols>
  <sheetData>
    <row r="2" spans="2:6" ht="43.5" customHeight="1">
      <c r="B2" s="26" t="s">
        <v>318</v>
      </c>
      <c r="C2" s="26"/>
      <c r="D2" s="26"/>
      <c r="E2" s="26"/>
      <c r="F2" s="26"/>
    </row>
    <row r="3" spans="2:6" ht="21.75" customHeight="1">
      <c r="B3" s="27" t="s">
        <v>319</v>
      </c>
      <c r="C3" s="27"/>
      <c r="D3" s="27"/>
      <c r="E3" s="27"/>
      <c r="F3" s="27"/>
    </row>
    <row r="5" spans="2:6" ht="43.5" customHeight="1">
      <c r="B5" s="25" t="s">
        <v>320</v>
      </c>
      <c r="C5" s="25"/>
      <c r="D5" s="25"/>
      <c r="E5" s="25"/>
      <c r="F5" s="25"/>
    </row>
    <row r="6" spans="2:6" ht="43.5" customHeight="1">
      <c r="B6" s="25" t="s">
        <v>321</v>
      </c>
      <c r="C6" s="25"/>
      <c r="D6" s="25"/>
      <c r="E6" s="25"/>
      <c r="F6" s="25"/>
    </row>
    <row r="7" spans="2:6" ht="43.5" customHeight="1">
      <c r="B7" s="25" t="s">
        <v>322</v>
      </c>
      <c r="C7" s="25"/>
      <c r="D7" s="25"/>
      <c r="E7" s="25"/>
      <c r="F7" s="25"/>
    </row>
    <row r="8" spans="2:6" ht="43.5" customHeight="1">
      <c r="B8" s="25" t="s">
        <v>323</v>
      </c>
      <c r="C8" s="25"/>
      <c r="D8" s="25"/>
      <c r="E8" s="25"/>
      <c r="F8" s="25"/>
    </row>
    <row r="9" spans="2:6" ht="43.5" customHeight="1">
      <c r="B9" s="25" t="s">
        <v>324</v>
      </c>
      <c r="C9" s="25"/>
      <c r="D9" s="25"/>
      <c r="E9" s="25"/>
      <c r="F9" s="25"/>
    </row>
    <row r="10" spans="2:6" ht="43.5" customHeight="1">
      <c r="B10" s="25" t="s">
        <v>325</v>
      </c>
      <c r="C10" s="25"/>
      <c r="D10" s="25"/>
      <c r="E10" s="25"/>
      <c r="F10" s="25"/>
    </row>
    <row r="11" spans="2:6" ht="43.5" customHeight="1">
      <c r="B11" s="25" t="s">
        <v>326</v>
      </c>
      <c r="C11" s="25"/>
      <c r="D11" s="25"/>
      <c r="E11" s="25"/>
      <c r="F11" s="25"/>
    </row>
    <row r="13" spans="2:6" ht="43.5" customHeight="1">
      <c r="B13" s="25" t="s">
        <v>327</v>
      </c>
      <c r="C13" s="25"/>
      <c r="D13" s="25"/>
      <c r="E13" s="25"/>
      <c r="F13" s="25"/>
    </row>
    <row r="14" spans="2:6" ht="39.75" customHeight="1">
      <c r="B14" s="22" t="s">
        <v>328</v>
      </c>
      <c r="C14" s="22" t="s">
        <v>329</v>
      </c>
      <c r="D14" s="22" t="s">
        <v>330</v>
      </c>
    </row>
    <row r="15" spans="2:6" ht="39.75" customHeight="1">
      <c r="B15" s="23" t="s">
        <v>331</v>
      </c>
      <c r="C15" s="23" t="s">
        <v>332</v>
      </c>
      <c r="D15" s="23" t="s">
        <v>333</v>
      </c>
    </row>
    <row r="16" spans="2:6" ht="39.75" customHeight="1">
      <c r="B16" s="5" t="s">
        <v>334</v>
      </c>
      <c r="C16" s="5" t="s">
        <v>335</v>
      </c>
      <c r="D16" s="5" t="s">
        <v>336</v>
      </c>
    </row>
    <row r="17" spans="2:6" ht="39.75" customHeight="1">
      <c r="B17" s="23" t="s">
        <v>337</v>
      </c>
      <c r="C17" s="23" t="s">
        <v>338</v>
      </c>
      <c r="D17" s="23" t="s">
        <v>339</v>
      </c>
    </row>
    <row r="18" spans="2:6" ht="39.75" customHeight="1">
      <c r="B18" s="5" t="s">
        <v>340</v>
      </c>
      <c r="C18" s="5" t="s">
        <v>341</v>
      </c>
      <c r="D18" s="5" t="s">
        <v>342</v>
      </c>
    </row>
    <row r="20" spans="2:6" ht="43.5" customHeight="1">
      <c r="B20" s="25" t="s">
        <v>343</v>
      </c>
      <c r="C20" s="25"/>
      <c r="D20" s="25"/>
      <c r="E20" s="25"/>
      <c r="F20" s="25"/>
    </row>
    <row r="21" spans="2:6" ht="39.75" customHeight="1">
      <c r="B21" s="23" t="s">
        <v>344</v>
      </c>
      <c r="C21" s="23" t="s">
        <v>345</v>
      </c>
      <c r="D21" s="23" t="s">
        <v>346</v>
      </c>
    </row>
    <row r="22" spans="2:6" ht="39.75" customHeight="1">
      <c r="B22" s="5" t="s">
        <v>323</v>
      </c>
      <c r="C22" s="5" t="s">
        <v>347</v>
      </c>
      <c r="D22" s="5" t="s">
        <v>346</v>
      </c>
    </row>
    <row r="23" spans="2:6" ht="39.75" customHeight="1">
      <c r="B23" s="23" t="s">
        <v>324</v>
      </c>
      <c r="C23" s="23" t="s">
        <v>348</v>
      </c>
      <c r="D23" s="23" t="s">
        <v>346</v>
      </c>
    </row>
    <row r="24" spans="2:6" ht="39.75" customHeight="1">
      <c r="B24" s="5" t="s">
        <v>325</v>
      </c>
      <c r="C24" s="5" t="s">
        <v>349</v>
      </c>
      <c r="D24" s="5" t="s">
        <v>346</v>
      </c>
    </row>
    <row r="25" spans="2:6" ht="39.75" customHeight="1">
      <c r="B25" s="23" t="s">
        <v>326</v>
      </c>
      <c r="C25" s="23" t="s">
        <v>350</v>
      </c>
      <c r="D25" s="23" t="s">
        <v>346</v>
      </c>
    </row>
    <row r="26" spans="2:6" ht="39.75" customHeight="1">
      <c r="B26" s="15" t="s">
        <v>351</v>
      </c>
      <c r="C26" s="15" t="s">
        <v>352</v>
      </c>
      <c r="D26" s="15" t="s">
        <v>353</v>
      </c>
    </row>
  </sheetData>
  <mergeCells count="11">
    <mergeCell ref="B2:F2"/>
    <mergeCell ref="B3:F3"/>
    <mergeCell ref="B5:F5"/>
    <mergeCell ref="B6:F6"/>
    <mergeCell ref="B7:F7"/>
    <mergeCell ref="B20:F20"/>
    <mergeCell ref="B8:F8"/>
    <mergeCell ref="B9:F9"/>
    <mergeCell ref="B10:F10"/>
    <mergeCell ref="B11:F11"/>
    <mergeCell ref="B13:F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
  <sheetViews>
    <sheetView showGridLines="0" zoomScaleNormal="100" workbookViewId="0">
      <pane ySplit="3" topLeftCell="A4" activePane="bottomLeft" state="frozen"/>
      <selection pane="bottomLeft"/>
    </sheetView>
  </sheetViews>
  <sheetFormatPr defaultColWidth="8.7109375" defaultRowHeight="14.45"/>
  <cols>
    <col min="1" max="1" width="12" customWidth="1"/>
    <col min="2" max="2" width="30" customWidth="1"/>
    <col min="3" max="4" width="22" customWidth="1"/>
    <col min="5" max="6" width="28" customWidth="1"/>
    <col min="7" max="7" width="20" customWidth="1"/>
    <col min="8" max="9" width="26" customWidth="1"/>
    <col min="10" max="10" width="24" customWidth="1"/>
    <col min="11" max="11" width="30" customWidth="1"/>
    <col min="12" max="13" width="18" customWidth="1"/>
    <col min="14" max="14" width="30" customWidth="1"/>
    <col min="15" max="15" width="18" customWidth="1"/>
    <col min="16" max="16" width="14" customWidth="1"/>
    <col min="17" max="17" width="18" customWidth="1"/>
    <col min="18" max="18" width="16" customWidth="1"/>
    <col min="19" max="19" width="40" customWidth="1"/>
  </cols>
  <sheetData>
    <row r="1" spans="1:19" ht="43.5" customHeight="1">
      <c r="A1" s="41" t="s">
        <v>354</v>
      </c>
      <c r="B1" s="41"/>
      <c r="C1" s="41"/>
      <c r="D1" s="41"/>
      <c r="E1" s="41"/>
      <c r="F1" s="41"/>
      <c r="G1" s="41"/>
      <c r="H1" s="41"/>
      <c r="I1" s="41"/>
      <c r="J1" s="41"/>
      <c r="K1" s="41"/>
      <c r="L1" s="41"/>
      <c r="M1" s="41"/>
      <c r="N1" s="41"/>
      <c r="O1" s="41"/>
      <c r="P1" s="41"/>
      <c r="Q1" s="41"/>
      <c r="R1" s="41"/>
      <c r="S1" s="41"/>
    </row>
    <row r="2" spans="1:19" ht="21.75" customHeight="1">
      <c r="A2" s="42" t="s">
        <v>355</v>
      </c>
      <c r="B2" s="42"/>
      <c r="C2" s="42"/>
      <c r="D2" s="42"/>
      <c r="E2" s="42"/>
      <c r="F2" s="42"/>
      <c r="G2" s="42"/>
      <c r="H2" s="42"/>
      <c r="I2" s="42"/>
      <c r="J2" s="42"/>
      <c r="K2" s="42"/>
      <c r="L2" s="42"/>
      <c r="M2" s="42"/>
      <c r="N2" s="42"/>
      <c r="O2" s="42"/>
      <c r="P2" s="42"/>
      <c r="Q2" s="42"/>
      <c r="R2" s="42"/>
      <c r="S2" s="42"/>
    </row>
    <row r="3" spans="1:19" ht="36" customHeight="1">
      <c r="A3" s="21" t="s">
        <v>356</v>
      </c>
      <c r="B3" s="21" t="s">
        <v>357</v>
      </c>
      <c r="C3" s="21" t="s">
        <v>358</v>
      </c>
      <c r="D3" s="21" t="s">
        <v>359</v>
      </c>
      <c r="E3" s="21" t="s">
        <v>360</v>
      </c>
      <c r="F3" s="21" t="s">
        <v>361</v>
      </c>
      <c r="G3" s="21" t="s">
        <v>362</v>
      </c>
      <c r="H3" s="21" t="s">
        <v>363</v>
      </c>
      <c r="I3" s="21" t="s">
        <v>364</v>
      </c>
      <c r="J3" s="21" t="s">
        <v>365</v>
      </c>
      <c r="K3" s="21" t="s">
        <v>366</v>
      </c>
      <c r="L3" s="21" t="s">
        <v>367</v>
      </c>
      <c r="M3" s="21" t="s">
        <v>368</v>
      </c>
      <c r="N3" s="21" t="s">
        <v>369</v>
      </c>
      <c r="O3" s="21" t="s">
        <v>370</v>
      </c>
      <c r="P3" s="21" t="s">
        <v>371</v>
      </c>
      <c r="Q3" s="21" t="s">
        <v>136</v>
      </c>
      <c r="R3" s="21" t="s">
        <v>372</v>
      </c>
      <c r="S3" s="21" t="s">
        <v>373</v>
      </c>
    </row>
    <row r="4" spans="1:19" ht="37.5" customHeight="1">
      <c r="A4" s="14" t="s">
        <v>267</v>
      </c>
      <c r="B4" s="14" t="s">
        <v>138</v>
      </c>
      <c r="C4" s="14" t="s">
        <v>59</v>
      </c>
      <c r="D4" s="14" t="s">
        <v>60</v>
      </c>
      <c r="E4" s="14" t="s">
        <v>140</v>
      </c>
      <c r="F4" s="14" t="s">
        <v>86</v>
      </c>
      <c r="G4" s="14" t="s">
        <v>141</v>
      </c>
      <c r="H4" s="14" t="s">
        <v>142</v>
      </c>
      <c r="I4" s="14" t="s">
        <v>143</v>
      </c>
      <c r="J4" s="14" t="s">
        <v>144</v>
      </c>
      <c r="K4" s="14" t="s">
        <v>145</v>
      </c>
      <c r="L4" s="14" t="s">
        <v>147</v>
      </c>
      <c r="M4" s="14" t="s">
        <v>148</v>
      </c>
      <c r="N4" s="14" t="s">
        <v>374</v>
      </c>
      <c r="O4" s="14" t="s">
        <v>150</v>
      </c>
      <c r="P4" s="24" t="s">
        <v>152</v>
      </c>
      <c r="Q4" s="14" t="s">
        <v>158</v>
      </c>
      <c r="R4" s="14" t="s">
        <v>156</v>
      </c>
      <c r="S4" s="14" t="s">
        <v>375</v>
      </c>
    </row>
    <row r="5" spans="1:19" ht="37.5" customHeight="1">
      <c r="A5" s="16" t="s">
        <v>376</v>
      </c>
      <c r="B5" s="16" t="s">
        <v>160</v>
      </c>
      <c r="C5" s="16" t="s">
        <v>85</v>
      </c>
      <c r="D5" s="16" t="s">
        <v>86</v>
      </c>
      <c r="E5" s="16" t="s">
        <v>162</v>
      </c>
      <c r="F5" s="16" t="s">
        <v>86</v>
      </c>
      <c r="G5" s="16" t="s">
        <v>141</v>
      </c>
      <c r="H5" s="16" t="s">
        <v>142</v>
      </c>
      <c r="I5" s="16" t="s">
        <v>163</v>
      </c>
      <c r="J5" s="16" t="s">
        <v>144</v>
      </c>
      <c r="K5" s="16" t="s">
        <v>145</v>
      </c>
      <c r="L5" s="16" t="s">
        <v>165</v>
      </c>
      <c r="M5" s="16" t="s">
        <v>166</v>
      </c>
      <c r="N5" s="16" t="s">
        <v>377</v>
      </c>
      <c r="O5" s="16" t="s">
        <v>150</v>
      </c>
      <c r="P5" s="24" t="s">
        <v>152</v>
      </c>
      <c r="Q5" s="16" t="s">
        <v>158</v>
      </c>
      <c r="R5" s="16" t="s">
        <v>156</v>
      </c>
      <c r="S5" s="16" t="s">
        <v>378</v>
      </c>
    </row>
    <row r="6" spans="1:19" ht="37.5" customHeight="1">
      <c r="A6" s="14" t="s">
        <v>379</v>
      </c>
      <c r="B6" s="14" t="s">
        <v>173</v>
      </c>
      <c r="C6" s="14" t="s">
        <v>59</v>
      </c>
      <c r="D6" s="14" t="s">
        <v>60</v>
      </c>
      <c r="E6" s="14" t="s">
        <v>175</v>
      </c>
      <c r="F6" s="14" t="s">
        <v>175</v>
      </c>
      <c r="G6" s="14" t="s">
        <v>141</v>
      </c>
      <c r="H6" s="14" t="s">
        <v>142</v>
      </c>
      <c r="I6" s="14" t="s">
        <v>176</v>
      </c>
      <c r="J6" s="14" t="s">
        <v>144</v>
      </c>
      <c r="K6" s="14" t="s">
        <v>145</v>
      </c>
      <c r="L6" s="14" t="s">
        <v>178</v>
      </c>
      <c r="M6" s="14" t="s">
        <v>179</v>
      </c>
      <c r="N6" s="14" t="s">
        <v>380</v>
      </c>
      <c r="O6" s="14" t="s">
        <v>150</v>
      </c>
      <c r="P6" s="24" t="s">
        <v>152</v>
      </c>
      <c r="Q6" s="14" t="s">
        <v>158</v>
      </c>
      <c r="R6" s="14" t="s">
        <v>156</v>
      </c>
      <c r="S6" s="14" t="s">
        <v>381</v>
      </c>
    </row>
    <row r="7" spans="1:19" ht="37.5" customHeight="1">
      <c r="A7" s="16" t="s">
        <v>382</v>
      </c>
      <c r="B7" s="16" t="s">
        <v>187</v>
      </c>
      <c r="C7" s="16" t="s">
        <v>59</v>
      </c>
      <c r="D7" s="16" t="s">
        <v>64</v>
      </c>
      <c r="E7" s="16" t="s">
        <v>189</v>
      </c>
      <c r="F7" s="16" t="s">
        <v>189</v>
      </c>
      <c r="G7" s="16" t="s">
        <v>141</v>
      </c>
      <c r="H7" s="16" t="s">
        <v>383</v>
      </c>
      <c r="I7" s="16" t="s">
        <v>191</v>
      </c>
      <c r="J7" s="16" t="s">
        <v>192</v>
      </c>
      <c r="K7" s="16" t="s">
        <v>193</v>
      </c>
      <c r="L7" s="16" t="s">
        <v>195</v>
      </c>
      <c r="M7" s="16" t="s">
        <v>196</v>
      </c>
      <c r="N7" s="16" t="s">
        <v>384</v>
      </c>
      <c r="O7" s="16" t="s">
        <v>198</v>
      </c>
      <c r="P7" s="24" t="s">
        <v>200</v>
      </c>
      <c r="Q7" s="16" t="s">
        <v>158</v>
      </c>
      <c r="R7" s="16" t="s">
        <v>204</v>
      </c>
      <c r="S7" s="16" t="s">
        <v>385</v>
      </c>
    </row>
    <row r="8" spans="1:19" ht="37.5" customHeight="1">
      <c r="A8" s="14" t="s">
        <v>306</v>
      </c>
      <c r="B8" s="14" t="s">
        <v>206</v>
      </c>
      <c r="C8" s="14" t="s">
        <v>85</v>
      </c>
      <c r="D8" s="14" t="s">
        <v>94</v>
      </c>
      <c r="E8" s="14" t="s">
        <v>86</v>
      </c>
      <c r="F8" s="14" t="s">
        <v>86</v>
      </c>
      <c r="G8" s="14" t="s">
        <v>141</v>
      </c>
      <c r="H8" s="14" t="s">
        <v>142</v>
      </c>
      <c r="I8" s="14" t="s">
        <v>208</v>
      </c>
      <c r="J8" s="14" t="s">
        <v>144</v>
      </c>
      <c r="K8" s="14" t="s">
        <v>145</v>
      </c>
      <c r="L8" s="14" t="s">
        <v>210</v>
      </c>
      <c r="M8" s="14" t="s">
        <v>211</v>
      </c>
      <c r="N8" s="14" t="s">
        <v>386</v>
      </c>
      <c r="O8" s="14" t="s">
        <v>150</v>
      </c>
      <c r="P8" s="24" t="s">
        <v>152</v>
      </c>
      <c r="Q8" s="14" t="s">
        <v>158</v>
      </c>
      <c r="R8" s="14" t="s">
        <v>156</v>
      </c>
      <c r="S8" s="14" t="s">
        <v>387</v>
      </c>
    </row>
    <row r="9" spans="1:19" ht="37.5" customHeight="1">
      <c r="A9" s="16" t="s">
        <v>314</v>
      </c>
      <c r="B9" s="16" t="s">
        <v>219</v>
      </c>
      <c r="C9" s="16" t="s">
        <v>72</v>
      </c>
      <c r="D9" s="16" t="s">
        <v>77</v>
      </c>
      <c r="E9" s="16" t="s">
        <v>221</v>
      </c>
      <c r="F9" s="16" t="s">
        <v>86</v>
      </c>
      <c r="G9" s="16" t="s">
        <v>141</v>
      </c>
      <c r="H9" s="16" t="s">
        <v>388</v>
      </c>
      <c r="I9" s="16" t="s">
        <v>223</v>
      </c>
      <c r="J9" s="16" t="s">
        <v>77</v>
      </c>
      <c r="K9" s="16" t="s">
        <v>224</v>
      </c>
      <c r="L9" s="16" t="s">
        <v>226</v>
      </c>
      <c r="M9" s="16" t="s">
        <v>227</v>
      </c>
      <c r="N9" s="16" t="s">
        <v>389</v>
      </c>
      <c r="O9" s="16" t="s">
        <v>150</v>
      </c>
      <c r="P9" s="24" t="s">
        <v>200</v>
      </c>
      <c r="Q9" s="16" t="s">
        <v>158</v>
      </c>
      <c r="R9" s="16" t="s">
        <v>233</v>
      </c>
      <c r="S9" s="16" t="s">
        <v>390</v>
      </c>
    </row>
    <row r="10" spans="1:19" ht="37.5" customHeight="1">
      <c r="A10" s="14" t="s">
        <v>391</v>
      </c>
      <c r="B10" s="14" t="s">
        <v>235</v>
      </c>
      <c r="C10" s="14" t="s">
        <v>72</v>
      </c>
      <c r="D10" s="14" t="s">
        <v>73</v>
      </c>
      <c r="E10" s="14" t="s">
        <v>237</v>
      </c>
      <c r="F10" s="14" t="s">
        <v>237</v>
      </c>
      <c r="G10" s="14" t="s">
        <v>141</v>
      </c>
      <c r="H10" s="14" t="s">
        <v>392</v>
      </c>
      <c r="I10" s="14" t="s">
        <v>239</v>
      </c>
      <c r="J10" s="14" t="s">
        <v>73</v>
      </c>
      <c r="K10" s="14" t="s">
        <v>240</v>
      </c>
      <c r="L10" s="14" t="s">
        <v>242</v>
      </c>
      <c r="M10" s="14" t="s">
        <v>243</v>
      </c>
      <c r="N10" s="14" t="s">
        <v>393</v>
      </c>
      <c r="O10" s="14" t="s">
        <v>198</v>
      </c>
      <c r="P10" s="24" t="s">
        <v>200</v>
      </c>
      <c r="Q10" s="14" t="s">
        <v>158</v>
      </c>
      <c r="R10" s="14" t="s">
        <v>249</v>
      </c>
      <c r="S10" s="14" t="s">
        <v>394</v>
      </c>
    </row>
  </sheetData>
  <mergeCells count="2">
    <mergeCell ref="A1:S1"/>
    <mergeCell ref="A2:S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745E609EF51C46B246E8FCC257675D" ma:contentTypeVersion="21" ma:contentTypeDescription="Create a new document." ma:contentTypeScope="" ma:versionID="863581321ca0925683a30dd4265ebafb">
  <xsd:schema xmlns:xsd="http://www.w3.org/2001/XMLSchema" xmlns:xs="http://www.w3.org/2001/XMLSchema" xmlns:p="http://schemas.microsoft.com/office/2006/metadata/properties" xmlns:ns1="http://schemas.microsoft.com/sharepoint/v3" xmlns:ns2="a3a94168-aaf4-4dc3-8cc1-ef9dcbeea62f" xmlns:ns3="30df63bb-03f4-4df1-91e4-a99468797042" targetNamespace="http://schemas.microsoft.com/office/2006/metadata/properties" ma:root="true" ma:fieldsID="346271ec4c38c7a900dd711ef46c3f1d" ns1:_="" ns2:_="" ns3:_="">
    <xsd:import namespace="http://schemas.microsoft.com/sharepoint/v3"/>
    <xsd:import namespace="a3a94168-aaf4-4dc3-8cc1-ef9dcbeea62f"/>
    <xsd:import namespace="30df63bb-03f4-4df1-91e4-a9946879704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a94168-aaf4-4dc3-8cc1-ef9dcbeea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85113c5-7036-4ae5-b6c9-3bc4b8da47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df63bb-03f4-4df1-91e4-a9946879704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659e65-ec5a-4c55-92ff-eadfae73082b}" ma:internalName="TaxCatchAll" ma:showField="CatchAllData" ma:web="30df63bb-03f4-4df1-91e4-a994687970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a3a94168-aaf4-4dc3-8cc1-ef9dcbeea62f">
      <Terms xmlns="http://schemas.microsoft.com/office/infopath/2007/PartnerControls"/>
    </lcf76f155ced4ddcb4097134ff3c332f>
    <TaxCatchAll xmlns="30df63bb-03f4-4df1-91e4-a99468797042" xsi:nil="true"/>
  </documentManagement>
</p:properties>
</file>

<file path=customXml/itemProps1.xml><?xml version="1.0" encoding="utf-8"?>
<ds:datastoreItem xmlns:ds="http://schemas.openxmlformats.org/officeDocument/2006/customXml" ds:itemID="{CD9977ED-F2F8-49BB-AC98-7284CDB2C24E}"/>
</file>

<file path=customXml/itemProps2.xml><?xml version="1.0" encoding="utf-8"?>
<ds:datastoreItem xmlns:ds="http://schemas.openxmlformats.org/officeDocument/2006/customXml" ds:itemID="{569B52F1-BFC6-4A5B-BB69-C1EFAD9F923A}"/>
</file>

<file path=customXml/itemProps3.xml><?xml version="1.0" encoding="utf-8"?>
<ds:datastoreItem xmlns:ds="http://schemas.openxmlformats.org/officeDocument/2006/customXml" ds:itemID="{AA43F46D-4D89-4D64-87ED-7A8BB7845D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Rick Wegener</cp:lastModifiedBy>
  <cp:revision>0</cp:revision>
  <dcterms:created xsi:type="dcterms:W3CDTF">2026-04-03T09:35:27Z</dcterms:created>
  <dcterms:modified xsi:type="dcterms:W3CDTF">2026-05-11T07:21:37Z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0x01010016745E609EF51C46B246E8FCC257675D</vt:lpwstr>
  </property>
  <property fmtid="{D5CDD505-2E9C-101B-9397-08002B2CF9AE}" pid="3" name="MediaServiceImageTags">
    <vt:lpwstr/>
  </property>
</Properties>
</file>